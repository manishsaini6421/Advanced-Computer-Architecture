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fetch" sheetId="1" r:id="rId4"/>
    <sheet state="visible" name="Simd" sheetId="2" r:id="rId5"/>
    <sheet state="visible" name="Combined" sheetId="3" r:id="rId6"/>
  </sheets>
  <definedNames/>
  <calcPr/>
  <extLst>
    <ext uri="GoogleSheetsCustomDataVersion2">
      <go:sheetsCustomData xmlns:go="http://customooxmlschemas.google.com/" r:id="rId7" roundtripDataChecksum="IeZbX/UsHiPFhUFsBx+S2trbAoJoXSwEv9+bIvVbZaM="/>
    </ext>
  </extLst>
</workbook>
</file>

<file path=xl/sharedStrings.xml><?xml version="1.0" encoding="utf-8"?>
<sst xmlns="http://schemas.openxmlformats.org/spreadsheetml/2006/main" count="581" uniqueCount="44">
  <si>
    <t>Prefetching Mode</t>
  </si>
  <si>
    <t>Embedding Table Size</t>
  </si>
  <si>
    <t>Prefetch Distance</t>
  </si>
  <si>
    <t>Cache Fill Level</t>
  </si>
  <si>
    <t>L1D Misses</t>
  </si>
  <si>
    <t>L2 Misses</t>
  </si>
  <si>
    <t>LLC Misses</t>
  </si>
  <si>
    <t>Software Prefetch Requests</t>
  </si>
  <si>
    <t>Execution Time</t>
  </si>
  <si>
    <t>Speedup</t>
  </si>
  <si>
    <t>No Prefetching</t>
  </si>
  <si>
    <t>1M</t>
  </si>
  <si>
    <t>-</t>
  </si>
  <si>
    <t>Software Prefetching</t>
  </si>
  <si>
    <t>L1</t>
  </si>
  <si>
    <t>L2</t>
  </si>
  <si>
    <t>LLC</t>
  </si>
  <si>
    <t>2M</t>
  </si>
  <si>
    <t>3M</t>
  </si>
  <si>
    <t>4M</t>
  </si>
  <si>
    <t>5M</t>
  </si>
  <si>
    <t>6M</t>
  </si>
  <si>
    <t>7M</t>
  </si>
  <si>
    <t>8M</t>
  </si>
  <si>
    <t>Metrics</t>
  </si>
  <si>
    <t>SIMD width (bits)</t>
  </si>
  <si>
    <t>embedding
dimension (elements)</t>
  </si>
  <si>
    <t>Instructions</t>
  </si>
  <si>
    <t>Execution
time</t>
  </si>
  <si>
    <t>No SIMD</t>
  </si>
  <si>
    <t>SIMD</t>
  </si>
  <si>
    <t>1.5939</t>
  </si>
  <si>
    <t>1.9558</t>
  </si>
  <si>
    <t>2.071</t>
  </si>
  <si>
    <t>4.078</t>
  </si>
  <si>
    <t>1.3515</t>
  </si>
  <si>
    <t>2.3070</t>
  </si>
  <si>
    <t>1.3566</t>
  </si>
  <si>
    <t>2.34223</t>
  </si>
  <si>
    <t>1.5135</t>
  </si>
  <si>
    <t>1.2899</t>
  </si>
  <si>
    <t>Dimensions</t>
  </si>
  <si>
    <t>Registers (128b / 256b)</t>
  </si>
  <si>
    <t>Software Prefetching + SIMD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</si>
</sst>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4.0"/>
      <color rgb="FF000000"/>
      <name val="Roboto"/>
    </font>
    <font>
      <sz val="12.0"/>
      <color rgb="FF000000"/>
      <name val="Roboto"/>
    </font>
    <font/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1" xfId="0" applyAlignment="1" applyBorder="1" applyFont="1" applyNumberFormat="1">
      <alignment horizontal="center" vertical="top"/>
    </xf>
    <xf borderId="1" fillId="0" fontId="1" numFmtId="49" xfId="0" applyAlignment="1" applyBorder="1" applyFont="1" applyNumberFormat="1">
      <alignment horizontal="center" readingOrder="0" vertical="top"/>
    </xf>
    <xf borderId="0" fillId="0" fontId="2" numFmtId="1" xfId="0" applyAlignment="1" applyFont="1" applyNumberFormat="1">
      <alignment horizontal="center"/>
    </xf>
    <xf borderId="2" fillId="0" fontId="2" numFmtId="1" xfId="0" applyAlignment="1" applyBorder="1" applyFont="1" applyNumberFormat="1">
      <alignment horizontal="center"/>
    </xf>
    <xf borderId="3" fillId="0" fontId="2" numFmtId="1" xfId="0" applyAlignment="1" applyBorder="1" applyFont="1" applyNumberFormat="1">
      <alignment horizontal="center"/>
    </xf>
    <xf borderId="3" fillId="0" fontId="2" numFmtId="1" xfId="0" applyAlignment="1" applyBorder="1" applyFont="1" applyNumberFormat="1">
      <alignment horizontal="center" readingOrder="0"/>
    </xf>
    <xf borderId="4" fillId="0" fontId="2" numFmtId="49" xfId="0" applyAlignment="1" applyBorder="1" applyFont="1" applyNumberFormat="1">
      <alignment horizontal="center" readingOrder="0" vertical="center"/>
    </xf>
    <xf borderId="5" fillId="0" fontId="2" numFmtId="1" xfId="0" applyAlignment="1" applyBorder="1" applyFont="1" applyNumberFormat="1">
      <alignment horizontal="center"/>
    </xf>
    <xf borderId="0" fillId="0" fontId="2" numFmtId="1" xfId="0" applyAlignment="1" applyFont="1" applyNumberFormat="1">
      <alignment horizontal="center" readingOrder="0"/>
    </xf>
    <xf borderId="6" fillId="0" fontId="2" numFmtId="49" xfId="0" applyAlignment="1" applyBorder="1" applyFont="1" applyNumberFormat="1">
      <alignment horizontal="center" readingOrder="0" vertical="center"/>
    </xf>
    <xf borderId="0" fillId="0" fontId="2" numFmtId="4" xfId="0" applyAlignment="1" applyFont="1" applyNumberFormat="1">
      <alignment horizontal="center"/>
    </xf>
    <xf borderId="5" fillId="0" fontId="2" numFmtId="1" xfId="0" applyAlignment="1" applyBorder="1" applyFont="1" applyNumberFormat="1">
      <alignment horizontal="center" readingOrder="0"/>
    </xf>
    <xf borderId="0" fillId="0" fontId="3" numFmtId="1" xfId="0" applyAlignment="1" applyFont="1" applyNumberFormat="1">
      <alignment horizontal="center" readingOrder="0" vertical="bottom"/>
    </xf>
    <xf borderId="0" fillId="0" fontId="3" numFmtId="1" xfId="0" applyAlignment="1" applyFont="1" applyNumberFormat="1">
      <alignment horizontal="center" vertical="bottom"/>
    </xf>
    <xf borderId="7" fillId="0" fontId="2" numFmtId="1" xfId="0" applyAlignment="1" applyBorder="1" applyFont="1" applyNumberFormat="1">
      <alignment horizontal="center"/>
    </xf>
    <xf borderId="8" fillId="0" fontId="2" numFmtId="1" xfId="0" applyAlignment="1" applyBorder="1" applyFont="1" applyNumberFormat="1">
      <alignment horizontal="center"/>
    </xf>
    <xf borderId="8" fillId="0" fontId="2" numFmtId="1" xfId="0" applyAlignment="1" applyBorder="1" applyFont="1" applyNumberFormat="1">
      <alignment horizontal="center" readingOrder="0"/>
    </xf>
    <xf borderId="9" fillId="0" fontId="2" numFmtId="49" xfId="0" applyAlignment="1" applyBorder="1" applyFont="1" applyNumberFormat="1">
      <alignment horizontal="center" readingOrder="0" vertical="center"/>
    </xf>
    <xf borderId="0" fillId="0" fontId="2" numFmtId="49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/>
    </xf>
    <xf borderId="8" fillId="0" fontId="2" numFmtId="0" xfId="0" applyAlignment="1" applyBorder="1" applyFont="1">
      <alignment horizontal="center" readingOrder="0"/>
    </xf>
    <xf borderId="0" fillId="0" fontId="2" numFmtId="1" xfId="0" applyFont="1" applyNumberFormat="1"/>
    <xf borderId="0" fillId="0" fontId="2" numFmtId="49" xfId="0" applyAlignment="1" applyFont="1" applyNumberFormat="1">
      <alignment horizontal="center"/>
    </xf>
    <xf borderId="0" fillId="0" fontId="2" numFmtId="0" xfId="0" applyAlignment="1" applyFont="1">
      <alignment readingOrder="0"/>
    </xf>
    <xf borderId="4" fillId="0" fontId="2" numFmtId="49" xfId="0" applyAlignment="1" applyBorder="1" applyFont="1" applyNumberFormat="1">
      <alignment horizontal="center"/>
    </xf>
    <xf borderId="8" fillId="0" fontId="2" numFmtId="0" xfId="0" applyAlignment="1" applyBorder="1" applyFont="1">
      <alignment readingOrder="0"/>
    </xf>
    <xf borderId="0" fillId="0" fontId="2" numFmtId="1" xfId="0" applyAlignment="1" applyFont="1" applyNumberFormat="1">
      <alignment readingOrder="0"/>
    </xf>
    <xf borderId="0" fillId="0" fontId="4" numFmtId="0" xfId="0" applyAlignment="1" applyFont="1">
      <alignment horizontal="center" readingOrder="0" shrinkToFit="0" wrapText="1"/>
    </xf>
    <xf borderId="0" fillId="0" fontId="4" numFmtId="1" xfId="0" applyAlignment="1" applyFont="1" applyNumberFormat="1">
      <alignment horizontal="center" readingOrder="0" shrinkToFit="0" wrapText="1"/>
    </xf>
    <xf borderId="0" fillId="0" fontId="5" numFmtId="1" xfId="0" applyAlignment="1" applyFont="1" applyNumberFormat="1">
      <alignment horizontal="center" readingOrder="0" shrinkToFit="0" wrapText="1"/>
    </xf>
    <xf borderId="0" fillId="0" fontId="5" numFmtId="49" xfId="0" applyAlignment="1" applyFont="1" applyNumberFormat="1">
      <alignment horizontal="center"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0" fontId="2" numFmtId="1" xfId="0" applyAlignment="1" applyFont="1" applyNumberFormat="1">
      <alignment horizontal="center" shrinkToFit="0" wrapText="1"/>
    </xf>
    <xf borderId="0" fillId="0" fontId="2" numFmtId="49" xfId="0" applyAlignment="1" applyFont="1" applyNumberFormat="1">
      <alignment horizontal="center" shrinkToFit="0" wrapText="1"/>
    </xf>
    <xf borderId="0" fillId="0" fontId="2" numFmtId="0" xfId="0" applyAlignment="1" applyFont="1">
      <alignment horizontal="left" shrinkToFit="0" wrapText="1"/>
    </xf>
    <xf borderId="1" fillId="0" fontId="2" numFmtId="0" xfId="0" applyBorder="1" applyFont="1"/>
    <xf borderId="1" fillId="0" fontId="2" numFmtId="1" xfId="0" applyAlignment="1" applyBorder="1" applyFont="1" applyNumberFormat="1">
      <alignment horizontal="center"/>
    </xf>
    <xf borderId="1" fillId="0" fontId="2" numFmtId="49" xfId="0" applyAlignment="1" applyBorder="1" applyFont="1" applyNumberFormat="1">
      <alignment horizontal="center"/>
    </xf>
    <xf borderId="1" fillId="0" fontId="1" numFmtId="1" xfId="0" applyAlignment="1" applyBorder="1" applyFont="1" applyNumberFormat="1">
      <alignment horizontal="center" readingOrder="0" vertical="top"/>
    </xf>
    <xf borderId="0" fillId="0" fontId="1" numFmtId="1" xfId="0" applyAlignment="1" applyFont="1" applyNumberFormat="1">
      <alignment horizontal="center" vertical="top"/>
    </xf>
    <xf borderId="0" fillId="0" fontId="1" numFmtId="49" xfId="0" applyAlignment="1" applyFont="1" applyNumberFormat="1">
      <alignment horizontal="center" readingOrder="0" vertical="top"/>
    </xf>
    <xf borderId="1" fillId="0" fontId="2" numFmtId="1" xfId="0" applyAlignment="1" applyBorder="1" applyFont="1" applyNumberFormat="1">
      <alignment horizontal="center" readingOrder="0"/>
    </xf>
    <xf borderId="10" fillId="0" fontId="2" numFmtId="1" xfId="0" applyAlignment="1" applyBorder="1" applyFont="1" applyNumberFormat="1">
      <alignment horizontal="center" readingOrder="0" vertical="center"/>
    </xf>
    <xf borderId="1" fillId="0" fontId="2" numFmtId="49" xfId="0" applyAlignment="1" applyBorder="1" applyFont="1" applyNumberFormat="1">
      <alignment horizontal="center" readingOrder="0"/>
    </xf>
    <xf borderId="11" fillId="0" fontId="6" numFmtId="0" xfId="0" applyBorder="1" applyFont="1"/>
    <xf borderId="12" fillId="0" fontId="6" numFmtId="0" xfId="0" applyBorder="1" applyFont="1"/>
    <xf borderId="1" fillId="0" fontId="3" numFmtId="1" xfId="0" applyAlignment="1" applyBorder="1" applyFont="1" applyNumberFormat="1">
      <alignment horizontal="center" vertical="bottom"/>
    </xf>
    <xf borderId="10" fillId="0" fontId="3" numFmtId="1" xfId="0" applyAlignment="1" applyBorder="1" applyFont="1" applyNumberFormat="1">
      <alignment horizontal="center" vertical="center"/>
    </xf>
    <xf borderId="1" fillId="0" fontId="3" numFmtId="49" xfId="0" applyAlignment="1" applyBorder="1" applyFont="1" applyNumberFormat="1">
      <alignment horizontal="center" vertical="bottom"/>
    </xf>
    <xf borderId="1" fillId="0" fontId="3" numFmtId="1" xfId="0" applyAlignment="1" applyBorder="1" applyFont="1" applyNumberFormat="1">
      <alignment horizontal="center" readingOrder="0" vertical="bottom"/>
    </xf>
    <xf borderId="1" fillId="0" fontId="3" numFmtId="49" xfId="0" applyAlignment="1" applyBorder="1" applyFont="1" applyNumberFormat="1">
      <alignment horizontal="center" readingOrder="0" vertical="bottom"/>
    </xf>
    <xf borderId="1" fillId="0" fontId="3" numFmtId="1" xfId="0" applyAlignment="1" applyBorder="1" applyFont="1" applyNumberFormat="1">
      <alignment vertical="bottom"/>
    </xf>
    <xf borderId="0" fillId="0" fontId="2" numFmtId="49" xfId="0" applyAlignment="1" applyFont="1" applyNumberFormat="1">
      <alignment horizontal="center" readingOrder="0"/>
    </xf>
    <xf borderId="0" fillId="0" fontId="2" numFmtId="1" xfId="0" applyAlignment="1" applyFont="1" applyNumberFormat="1">
      <alignment horizontal="center" readingOrder="0" vertical="center"/>
    </xf>
    <xf borderId="10" fillId="0" fontId="1" numFmtId="1" xfId="0" applyAlignment="1" applyBorder="1" applyFont="1" applyNumberFormat="1">
      <alignment horizontal="center" vertical="top"/>
    </xf>
    <xf borderId="10" fillId="0" fontId="1" numFmtId="49" xfId="0" applyAlignment="1" applyBorder="1" applyFont="1" applyNumberFormat="1">
      <alignment horizontal="center" readingOrder="0" vertical="top"/>
    </xf>
    <xf borderId="0" fillId="0" fontId="2" numFmtId="0" xfId="0" applyFont="1"/>
    <xf borderId="2" fillId="0" fontId="1" numFmtId="49" xfId="0" applyAlignment="1" applyBorder="1" applyFont="1" applyNumberFormat="1">
      <alignment horizontal="center" readingOrder="0" vertical="top"/>
    </xf>
    <xf borderId="0" fillId="0" fontId="1" numFmtId="1" xfId="0" applyAlignment="1" applyFont="1" applyNumberFormat="1">
      <alignment horizontal="center" readingOrder="0" vertical="top"/>
    </xf>
    <xf borderId="3" fillId="0" fontId="2" numFmtId="49" xfId="0" applyAlignment="1" applyBorder="1" applyFont="1" applyNumberFormat="1">
      <alignment horizontal="center" readingOrder="0" vertical="center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21.29"/>
    <col customWidth="1" min="3" max="3" width="19.14"/>
    <col customWidth="1" min="4" max="4" width="14.71"/>
    <col customWidth="1" min="5" max="5" width="15.57"/>
    <col customWidth="1" min="6" max="6" width="14.14"/>
    <col customWidth="1" min="7" max="7" width="14.43"/>
    <col customWidth="1" min="8" max="8" width="25.29"/>
    <col customWidth="1" min="9" max="9" width="18.57"/>
    <col customWidth="1" min="10" max="10" width="21.43"/>
    <col customWidth="1" min="11" max="12" width="8.71"/>
    <col customWidth="1" min="13" max="13" width="18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10</v>
      </c>
      <c r="B2" s="5" t="s">
        <v>11</v>
      </c>
      <c r="C2" s="5" t="s">
        <v>12</v>
      </c>
      <c r="D2" s="6" t="s">
        <v>12</v>
      </c>
      <c r="E2" s="6">
        <v>8159346.0</v>
      </c>
      <c r="F2" s="6">
        <v>1.086161E7</v>
      </c>
      <c r="G2" s="6">
        <v>9738.0</v>
      </c>
      <c r="H2" s="6">
        <v>0.0</v>
      </c>
      <c r="I2" s="6">
        <v>418.0</v>
      </c>
      <c r="J2" s="7">
        <f t="shared" ref="J2:J17" si="1">$I$2/I2</f>
        <v>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8" t="s">
        <v>13</v>
      </c>
      <c r="B3" s="3" t="s">
        <v>11</v>
      </c>
      <c r="C3" s="9">
        <v>2.0</v>
      </c>
      <c r="D3" s="3" t="s">
        <v>14</v>
      </c>
      <c r="E3" s="9">
        <v>8141840.0</v>
      </c>
      <c r="F3" s="9">
        <v>1.0848635E7</v>
      </c>
      <c r="G3" s="9">
        <v>9162.0</v>
      </c>
      <c r="H3" s="9">
        <v>1465.0</v>
      </c>
      <c r="I3" s="9">
        <v>342.0</v>
      </c>
      <c r="J3" s="10">
        <f t="shared" si="1"/>
        <v>1.222222222</v>
      </c>
      <c r="K3" s="3"/>
      <c r="L3" s="3"/>
      <c r="M3" s="11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"/>
      <c r="B4" s="3"/>
      <c r="C4" s="9">
        <v>2.0</v>
      </c>
      <c r="D4" s="9" t="s">
        <v>15</v>
      </c>
      <c r="E4" s="9">
        <v>8135076.4</v>
      </c>
      <c r="F4" s="9">
        <v>1.0826921E7</v>
      </c>
      <c r="G4" s="9">
        <v>7709.6</v>
      </c>
      <c r="H4" s="9">
        <v>722.2</v>
      </c>
      <c r="I4" s="9">
        <v>344.0</v>
      </c>
      <c r="J4" s="10">
        <f t="shared" si="1"/>
        <v>1.215116279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/>
      <c r="B5" s="3"/>
      <c r="C5" s="9">
        <v>2.0</v>
      </c>
      <c r="D5" s="9" t="s">
        <v>16</v>
      </c>
      <c r="E5" s="9">
        <v>8128386.0</v>
      </c>
      <c r="F5" s="9">
        <v>1.08216612E7</v>
      </c>
      <c r="G5" s="9">
        <v>8076.0</v>
      </c>
      <c r="H5" s="9">
        <v>0.0</v>
      </c>
      <c r="I5" s="9">
        <v>359.8</v>
      </c>
      <c r="J5" s="10">
        <f t="shared" si="1"/>
        <v>1.161756531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/>
      <c r="B6" s="3"/>
      <c r="C6" s="9">
        <v>4.0</v>
      </c>
      <c r="D6" s="3" t="s">
        <v>14</v>
      </c>
      <c r="E6" s="9">
        <v>8145232.8</v>
      </c>
      <c r="F6" s="9">
        <v>1.08469084E7</v>
      </c>
      <c r="G6" s="9">
        <v>8510.6</v>
      </c>
      <c r="H6" s="9">
        <v>1465.6</v>
      </c>
      <c r="I6" s="9">
        <v>338.0</v>
      </c>
      <c r="J6" s="10">
        <f t="shared" si="1"/>
        <v>1.236686391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8"/>
      <c r="B7" s="3"/>
      <c r="C7" s="9">
        <v>4.0</v>
      </c>
      <c r="D7" s="9" t="s">
        <v>15</v>
      </c>
      <c r="E7" s="9">
        <v>8134190.0</v>
      </c>
      <c r="F7" s="9">
        <v>1.08290944E7</v>
      </c>
      <c r="G7" s="9">
        <v>8996.8</v>
      </c>
      <c r="H7" s="9">
        <v>721.6</v>
      </c>
      <c r="I7" s="9">
        <v>346.2</v>
      </c>
      <c r="J7" s="10">
        <f t="shared" si="1"/>
        <v>1.20739457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8"/>
      <c r="B8" s="3"/>
      <c r="C8" s="9">
        <v>4.0</v>
      </c>
      <c r="D8" s="9" t="s">
        <v>16</v>
      </c>
      <c r="E8" s="9">
        <v>8177044.8</v>
      </c>
      <c r="F8" s="9">
        <v>1.08806038E7</v>
      </c>
      <c r="G8" s="9">
        <v>8424.6</v>
      </c>
      <c r="H8" s="9">
        <v>0.0</v>
      </c>
      <c r="I8" s="9">
        <v>347.2</v>
      </c>
      <c r="J8" s="10">
        <f t="shared" si="1"/>
        <v>1.203917051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8"/>
      <c r="B9" s="3"/>
      <c r="C9" s="13">
        <v>8.0</v>
      </c>
      <c r="D9" s="14" t="s">
        <v>14</v>
      </c>
      <c r="E9" s="9">
        <v>8136770.4</v>
      </c>
      <c r="F9" s="9">
        <v>1.08382764E7</v>
      </c>
      <c r="G9" s="9">
        <v>8934.2</v>
      </c>
      <c r="H9" s="9">
        <v>1463.6</v>
      </c>
      <c r="I9" s="9">
        <v>345.2</v>
      </c>
      <c r="J9" s="10">
        <f t="shared" si="1"/>
        <v>1.210892236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8"/>
      <c r="B10" s="3"/>
      <c r="C10" s="13">
        <v>8.0</v>
      </c>
      <c r="D10" s="14" t="s">
        <v>15</v>
      </c>
      <c r="E10" s="9">
        <v>8148252.2</v>
      </c>
      <c r="F10" s="9">
        <v>1.08503654E7</v>
      </c>
      <c r="G10" s="9">
        <v>5742.8</v>
      </c>
      <c r="H10" s="9">
        <v>718.0</v>
      </c>
      <c r="I10" s="9">
        <v>350.6</v>
      </c>
      <c r="J10" s="10">
        <f t="shared" si="1"/>
        <v>1.192241871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8"/>
      <c r="B11" s="3"/>
      <c r="C11" s="13">
        <v>8.0</v>
      </c>
      <c r="D11" s="14" t="s">
        <v>16</v>
      </c>
      <c r="E11" s="9">
        <v>8150669.8</v>
      </c>
      <c r="F11" s="9">
        <v>1.08522094E7</v>
      </c>
      <c r="G11" s="9">
        <v>5768.4</v>
      </c>
      <c r="H11" s="9">
        <v>0.0</v>
      </c>
      <c r="I11" s="9">
        <v>343.0</v>
      </c>
      <c r="J11" s="10">
        <f t="shared" si="1"/>
        <v>1.218658892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"/>
      <c r="B12" s="3"/>
      <c r="C12" s="9">
        <v>16.0</v>
      </c>
      <c r="D12" s="3" t="s">
        <v>14</v>
      </c>
      <c r="E12" s="9">
        <v>8134365.4</v>
      </c>
      <c r="F12" s="9">
        <v>1.08228082E7</v>
      </c>
      <c r="G12" s="9">
        <v>7384.6</v>
      </c>
      <c r="H12" s="9">
        <v>1462.8</v>
      </c>
      <c r="I12" s="9">
        <v>340.0</v>
      </c>
      <c r="J12" s="10">
        <f t="shared" si="1"/>
        <v>1.229411765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/>
      <c r="B13" s="3"/>
      <c r="C13" s="9">
        <v>16.0</v>
      </c>
      <c r="D13" s="9" t="s">
        <v>15</v>
      </c>
      <c r="E13" s="9">
        <v>8138700.4</v>
      </c>
      <c r="F13" s="9">
        <v>1.08383058E7</v>
      </c>
      <c r="G13" s="9">
        <v>8544.2</v>
      </c>
      <c r="H13" s="9">
        <v>719.0</v>
      </c>
      <c r="I13" s="9">
        <v>362.2</v>
      </c>
      <c r="J13" s="10">
        <f t="shared" si="1"/>
        <v>1.154058531</v>
      </c>
      <c r="K13" s="3"/>
      <c r="L13" s="3"/>
      <c r="M13" s="3"/>
      <c r="N13" s="3"/>
      <c r="O13" s="3"/>
      <c r="P13" s="3"/>
      <c r="Q13" s="3"/>
      <c r="R13" s="9"/>
      <c r="S13" s="3"/>
      <c r="T13" s="3"/>
      <c r="U13" s="3"/>
      <c r="V13" s="3"/>
      <c r="W13" s="3"/>
      <c r="X13" s="3"/>
      <c r="Y13" s="3"/>
      <c r="Z13" s="3"/>
    </row>
    <row r="14">
      <c r="A14" s="8"/>
      <c r="B14" s="3"/>
      <c r="C14" s="9">
        <v>16.0</v>
      </c>
      <c r="D14" s="9" t="s">
        <v>16</v>
      </c>
      <c r="E14" s="9">
        <v>8182857.0</v>
      </c>
      <c r="F14" s="9">
        <v>1.08587002E7</v>
      </c>
      <c r="G14" s="9">
        <v>6577.4</v>
      </c>
      <c r="H14" s="9">
        <v>0.0</v>
      </c>
      <c r="I14" s="9">
        <v>338.2</v>
      </c>
      <c r="J14" s="10">
        <f t="shared" si="1"/>
        <v>1.235955056</v>
      </c>
      <c r="K14" s="3"/>
      <c r="L14" s="3"/>
      <c r="M14" s="3"/>
      <c r="N14" s="3"/>
      <c r="O14" s="3"/>
      <c r="P14" s="3"/>
      <c r="Q14" s="3"/>
      <c r="R14" s="9"/>
      <c r="S14" s="3"/>
      <c r="T14" s="3"/>
      <c r="U14" s="3"/>
      <c r="V14" s="3"/>
      <c r="W14" s="3"/>
      <c r="X14" s="3"/>
      <c r="Y14" s="3"/>
      <c r="Z14" s="3"/>
    </row>
    <row r="15">
      <c r="A15" s="8"/>
      <c r="B15" s="3"/>
      <c r="C15" s="9">
        <v>32.0</v>
      </c>
      <c r="D15" s="3" t="s">
        <v>14</v>
      </c>
      <c r="E15" s="9">
        <v>8142905.8</v>
      </c>
      <c r="F15" s="9">
        <v>1.08466048E7</v>
      </c>
      <c r="G15" s="9">
        <v>8573.8</v>
      </c>
      <c r="H15" s="9">
        <v>1463.4</v>
      </c>
      <c r="I15" s="9">
        <v>340.2</v>
      </c>
      <c r="J15" s="10">
        <f t="shared" si="1"/>
        <v>1.228689006</v>
      </c>
      <c r="K15" s="3"/>
      <c r="L15" s="3"/>
      <c r="M15" s="3"/>
      <c r="N15" s="3"/>
      <c r="O15" s="3"/>
      <c r="P15" s="3"/>
      <c r="Q15" s="3"/>
      <c r="R15" s="9"/>
      <c r="S15" s="3"/>
      <c r="T15" s="3"/>
      <c r="U15" s="3"/>
      <c r="V15" s="3"/>
      <c r="W15" s="3"/>
      <c r="X15" s="3"/>
      <c r="Y15" s="3"/>
      <c r="Z15" s="3"/>
    </row>
    <row r="16">
      <c r="A16" s="8"/>
      <c r="B16" s="3"/>
      <c r="C16" s="9">
        <v>32.0</v>
      </c>
      <c r="D16" s="9" t="s">
        <v>15</v>
      </c>
      <c r="E16" s="9">
        <v>8135018.0</v>
      </c>
      <c r="F16" s="9">
        <v>1.08309802E7</v>
      </c>
      <c r="G16" s="9">
        <v>7788.8</v>
      </c>
      <c r="H16" s="9">
        <v>719.8</v>
      </c>
      <c r="I16" s="9">
        <v>351.0</v>
      </c>
      <c r="J16" s="10">
        <f t="shared" si="1"/>
        <v>1.190883191</v>
      </c>
      <c r="K16" s="3"/>
      <c r="L16" s="3"/>
      <c r="M16" s="3"/>
      <c r="N16" s="3"/>
      <c r="O16" s="3"/>
      <c r="P16" s="3"/>
      <c r="Q16" s="3"/>
      <c r="R16" s="9"/>
      <c r="S16" s="3"/>
      <c r="T16" s="3"/>
      <c r="U16" s="3"/>
      <c r="V16" s="3"/>
      <c r="W16" s="3"/>
      <c r="X16" s="3"/>
      <c r="Y16" s="3"/>
      <c r="Z16" s="3"/>
    </row>
    <row r="17">
      <c r="A17" s="15"/>
      <c r="B17" s="16"/>
      <c r="C17" s="17">
        <v>32.0</v>
      </c>
      <c r="D17" s="17" t="s">
        <v>16</v>
      </c>
      <c r="E17" s="17">
        <v>8144918.4</v>
      </c>
      <c r="F17" s="17">
        <v>1.08461454E7</v>
      </c>
      <c r="G17" s="17">
        <v>6153.2</v>
      </c>
      <c r="H17" s="17">
        <v>0.0</v>
      </c>
      <c r="I17" s="17">
        <v>367.4</v>
      </c>
      <c r="J17" s="18">
        <f t="shared" si="1"/>
        <v>1.137724551</v>
      </c>
      <c r="K17" s="3"/>
      <c r="L17" s="3"/>
      <c r="M17" s="3"/>
      <c r="N17" s="3"/>
      <c r="O17" s="3"/>
      <c r="P17" s="3"/>
      <c r="Q17" s="3"/>
      <c r="R17" s="9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19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19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10</v>
      </c>
      <c r="B20" s="6" t="s">
        <v>17</v>
      </c>
      <c r="C20" s="5" t="s">
        <v>12</v>
      </c>
      <c r="D20" s="6" t="s">
        <v>12</v>
      </c>
      <c r="E20" s="6">
        <v>2.4207108E7</v>
      </c>
      <c r="F20" s="6">
        <v>3.2155296E7</v>
      </c>
      <c r="G20" s="6">
        <v>10497.0</v>
      </c>
      <c r="H20" s="6">
        <v>0.0</v>
      </c>
      <c r="I20" s="6">
        <v>435.0</v>
      </c>
      <c r="J20" s="7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8" t="s">
        <v>13</v>
      </c>
      <c r="B21" s="9" t="s">
        <v>17</v>
      </c>
      <c r="C21" s="9">
        <v>2.0</v>
      </c>
      <c r="D21" s="3" t="s">
        <v>14</v>
      </c>
      <c r="E21" s="9">
        <v>1.62245266E7</v>
      </c>
      <c r="F21" s="9">
        <v>2.15685546E7</v>
      </c>
      <c r="G21" s="9">
        <v>8399.8</v>
      </c>
      <c r="H21" s="9">
        <v>1466.6</v>
      </c>
      <c r="I21" s="9">
        <v>356.6</v>
      </c>
      <c r="J21" s="10">
        <f t="shared" ref="J21:J35" si="2">$I$20/I21</f>
        <v>1.219854178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"/>
      <c r="B22" s="3"/>
      <c r="C22" s="9">
        <v>2.0</v>
      </c>
      <c r="D22" s="9" t="s">
        <v>15</v>
      </c>
      <c r="E22" s="20">
        <v>1.62526794E7</v>
      </c>
      <c r="F22" s="20">
        <v>2.16288126E7</v>
      </c>
      <c r="G22" s="20">
        <v>9892.4</v>
      </c>
      <c r="H22" s="20">
        <v>721.4</v>
      </c>
      <c r="I22" s="9">
        <v>348.8</v>
      </c>
      <c r="J22" s="10">
        <f t="shared" si="2"/>
        <v>1.247133028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8"/>
      <c r="B23" s="3"/>
      <c r="C23" s="9">
        <v>2.0</v>
      </c>
      <c r="D23" s="9" t="s">
        <v>16</v>
      </c>
      <c r="E23" s="20">
        <v>1.62469966E7</v>
      </c>
      <c r="F23" s="20">
        <v>2.15974532E7</v>
      </c>
      <c r="G23" s="20">
        <v>9090.8</v>
      </c>
      <c r="H23" s="20">
        <v>0.0</v>
      </c>
      <c r="I23" s="9">
        <v>359.6</v>
      </c>
      <c r="J23" s="10">
        <f t="shared" si="2"/>
        <v>1.209677419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8"/>
      <c r="B24" s="3"/>
      <c r="C24" s="9">
        <v>4.0</v>
      </c>
      <c r="D24" s="3" t="s">
        <v>14</v>
      </c>
      <c r="E24" s="20">
        <v>1.62439442E7</v>
      </c>
      <c r="F24" s="20">
        <v>2.15995068E7</v>
      </c>
      <c r="G24" s="20">
        <v>8982.2</v>
      </c>
      <c r="H24" s="20">
        <v>1465.8</v>
      </c>
      <c r="I24" s="9">
        <v>349.4</v>
      </c>
      <c r="J24" s="10">
        <f t="shared" si="2"/>
        <v>1.244991414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8"/>
      <c r="B25" s="3"/>
      <c r="C25" s="9">
        <v>4.0</v>
      </c>
      <c r="D25" s="9" t="s">
        <v>15</v>
      </c>
      <c r="E25" s="20">
        <v>1.62612154E7</v>
      </c>
      <c r="F25" s="20">
        <v>2.15820744E7</v>
      </c>
      <c r="G25" s="20">
        <v>12037.6</v>
      </c>
      <c r="H25" s="20">
        <v>722.0</v>
      </c>
      <c r="I25" s="9">
        <v>349.4</v>
      </c>
      <c r="J25" s="10">
        <f t="shared" si="2"/>
        <v>1.244991414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8"/>
      <c r="B26" s="3"/>
      <c r="C26" s="9">
        <v>4.0</v>
      </c>
      <c r="D26" s="9" t="s">
        <v>16</v>
      </c>
      <c r="E26" s="20">
        <v>1.6232239E7</v>
      </c>
      <c r="F26" s="20">
        <v>2.15740406E7</v>
      </c>
      <c r="G26" s="20">
        <v>10627.8</v>
      </c>
      <c r="H26" s="20">
        <v>0.0</v>
      </c>
      <c r="I26" s="9">
        <v>356.2</v>
      </c>
      <c r="J26" s="10">
        <f t="shared" si="2"/>
        <v>1.221224031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8"/>
      <c r="B27" s="3"/>
      <c r="C27" s="13">
        <v>8.0</v>
      </c>
      <c r="D27" s="14" t="s">
        <v>14</v>
      </c>
      <c r="E27" s="20">
        <v>1.62374602E7</v>
      </c>
      <c r="F27" s="20">
        <v>2.1602848E7</v>
      </c>
      <c r="G27" s="20">
        <v>8815.2</v>
      </c>
      <c r="H27" s="20">
        <v>1463.0</v>
      </c>
      <c r="I27" s="9">
        <v>352.4</v>
      </c>
      <c r="J27" s="10">
        <f t="shared" si="2"/>
        <v>1.234392736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8"/>
      <c r="B28" s="3"/>
      <c r="C28" s="13">
        <v>8.0</v>
      </c>
      <c r="D28" s="14" t="s">
        <v>15</v>
      </c>
      <c r="E28" s="20">
        <v>1.62830892E7</v>
      </c>
      <c r="F28" s="20">
        <v>2.1691222E7</v>
      </c>
      <c r="G28" s="20">
        <v>9110.4</v>
      </c>
      <c r="H28" s="20">
        <v>718.6</v>
      </c>
      <c r="I28" s="9">
        <v>353.0</v>
      </c>
      <c r="J28" s="10">
        <f t="shared" si="2"/>
        <v>1.232294618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8"/>
      <c r="B29" s="3"/>
      <c r="C29" s="13">
        <v>8.0</v>
      </c>
      <c r="D29" s="14" t="s">
        <v>16</v>
      </c>
      <c r="E29" s="20">
        <v>1.62510716E7</v>
      </c>
      <c r="F29" s="20">
        <v>2.15989876E7</v>
      </c>
      <c r="G29" s="20">
        <v>8753.6</v>
      </c>
      <c r="H29" s="20">
        <v>0.0</v>
      </c>
      <c r="I29" s="9">
        <v>360.6</v>
      </c>
      <c r="J29" s="10">
        <f t="shared" si="2"/>
        <v>1.206322795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8"/>
      <c r="B30" s="3"/>
      <c r="C30" s="9">
        <v>16.0</v>
      </c>
      <c r="D30" s="3" t="s">
        <v>14</v>
      </c>
      <c r="E30" s="20">
        <v>1.62150994E7</v>
      </c>
      <c r="F30" s="9">
        <v>2.15640906E7</v>
      </c>
      <c r="G30" s="9">
        <v>8921.0</v>
      </c>
      <c r="H30" s="9">
        <v>1462.0</v>
      </c>
      <c r="I30" s="9">
        <v>350.0</v>
      </c>
      <c r="J30" s="10">
        <f t="shared" si="2"/>
        <v>1.242857143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8"/>
      <c r="B31" s="3"/>
      <c r="C31" s="9">
        <v>16.0</v>
      </c>
      <c r="D31" s="9" t="s">
        <v>15</v>
      </c>
      <c r="E31" s="20">
        <v>1.62370634E7</v>
      </c>
      <c r="F31" s="20">
        <v>2.1596176E7</v>
      </c>
      <c r="G31" s="20">
        <v>8925.4</v>
      </c>
      <c r="H31" s="9">
        <v>718.6</v>
      </c>
      <c r="I31" s="9">
        <v>349.8</v>
      </c>
      <c r="J31" s="10">
        <f t="shared" si="2"/>
        <v>1.243567753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/>
      <c r="B32" s="3"/>
      <c r="C32" s="9">
        <v>16.0</v>
      </c>
      <c r="D32" s="9" t="s">
        <v>16</v>
      </c>
      <c r="E32" s="20">
        <v>1.62242712E7</v>
      </c>
      <c r="F32" s="20">
        <v>2.15591208E7</v>
      </c>
      <c r="G32" s="20">
        <v>8848.2</v>
      </c>
      <c r="H32" s="20">
        <v>0.0</v>
      </c>
      <c r="I32" s="9">
        <v>358.8</v>
      </c>
      <c r="J32" s="10">
        <f t="shared" si="2"/>
        <v>1.212374582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8"/>
      <c r="B33" s="3"/>
      <c r="C33" s="9">
        <v>32.0</v>
      </c>
      <c r="D33" s="3" t="s">
        <v>14</v>
      </c>
      <c r="E33" s="9">
        <v>1.62260542E7</v>
      </c>
      <c r="F33" s="9">
        <v>2.15843656E7</v>
      </c>
      <c r="G33" s="9">
        <v>8641.8</v>
      </c>
      <c r="H33" s="9">
        <v>1463.4</v>
      </c>
      <c r="I33" s="9">
        <v>353.0</v>
      </c>
      <c r="J33" s="10">
        <f t="shared" si="2"/>
        <v>1.232294618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8"/>
      <c r="B34" s="3"/>
      <c r="C34" s="9">
        <v>32.0</v>
      </c>
      <c r="D34" s="9" t="s">
        <v>15</v>
      </c>
      <c r="E34" s="20">
        <v>1.62230454E7</v>
      </c>
      <c r="F34" s="20">
        <v>2.15676754E7</v>
      </c>
      <c r="G34" s="20">
        <v>9256.2</v>
      </c>
      <c r="H34" s="20">
        <v>718.4</v>
      </c>
      <c r="I34" s="20">
        <v>364.4</v>
      </c>
      <c r="J34" s="10">
        <f t="shared" si="2"/>
        <v>1.193743139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5"/>
      <c r="B35" s="16"/>
      <c r="C35" s="17">
        <v>32.0</v>
      </c>
      <c r="D35" s="17" t="s">
        <v>16</v>
      </c>
      <c r="E35" s="21">
        <v>1.62264496E7</v>
      </c>
      <c r="F35" s="21">
        <v>2.15860936E7</v>
      </c>
      <c r="G35" s="21">
        <v>9342.8</v>
      </c>
      <c r="H35" s="21">
        <v>0.0</v>
      </c>
      <c r="I35" s="21">
        <v>360.0</v>
      </c>
      <c r="J35" s="18">
        <f t="shared" si="2"/>
        <v>1.208333333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F36" s="3"/>
      <c r="G36" s="3"/>
      <c r="H36" s="3"/>
      <c r="I36" s="3"/>
      <c r="J36" s="19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22"/>
      <c r="F37" s="3"/>
      <c r="G37" s="3"/>
      <c r="H37" s="3"/>
      <c r="I37" s="3"/>
      <c r="J37" s="2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 t="s">
        <v>10</v>
      </c>
      <c r="B38" s="6" t="s">
        <v>18</v>
      </c>
      <c r="C38" s="5" t="s">
        <v>12</v>
      </c>
      <c r="D38" s="6" t="s">
        <v>12</v>
      </c>
      <c r="E38" s="6">
        <v>2.4359791E7</v>
      </c>
      <c r="F38" s="6">
        <v>3.2322661E7</v>
      </c>
      <c r="G38" s="6">
        <v>9940.0</v>
      </c>
      <c r="H38" s="6">
        <v>0.0</v>
      </c>
      <c r="I38" s="6">
        <v>426.0</v>
      </c>
      <c r="J38" s="7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8" t="s">
        <v>13</v>
      </c>
      <c r="B39" s="9" t="s">
        <v>18</v>
      </c>
      <c r="C39" s="9">
        <v>2.0</v>
      </c>
      <c r="D39" s="3" t="s">
        <v>14</v>
      </c>
      <c r="E39" s="9">
        <v>2.43112574E7</v>
      </c>
      <c r="F39" s="9">
        <v>3.23240354E7</v>
      </c>
      <c r="G39" s="9">
        <v>11856.6</v>
      </c>
      <c r="H39" s="9">
        <v>1465.2</v>
      </c>
      <c r="I39" s="9">
        <v>356.6</v>
      </c>
      <c r="J39" s="10">
        <f t="shared" ref="J39:J53" si="3">$I$38/I39</f>
        <v>1.194615816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2"/>
      <c r="B40" s="3"/>
      <c r="C40" s="9">
        <v>2.0</v>
      </c>
      <c r="D40" s="9" t="s">
        <v>15</v>
      </c>
      <c r="E40" s="9">
        <v>2.4387535E7</v>
      </c>
      <c r="F40" s="9">
        <v>3.24637138E7</v>
      </c>
      <c r="G40" s="9">
        <v>12042.6</v>
      </c>
      <c r="H40" s="9">
        <v>722.0</v>
      </c>
      <c r="I40" s="9">
        <v>367.0</v>
      </c>
      <c r="J40" s="10">
        <f t="shared" si="3"/>
        <v>1.160762943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8"/>
      <c r="B41" s="3"/>
      <c r="C41" s="9">
        <v>2.0</v>
      </c>
      <c r="D41" s="9" t="s">
        <v>16</v>
      </c>
      <c r="E41" s="9">
        <v>2.4325301E7</v>
      </c>
      <c r="F41" s="9">
        <v>3.23399192E7</v>
      </c>
      <c r="G41" s="9">
        <v>11433.4</v>
      </c>
      <c r="H41" s="9">
        <v>0.0</v>
      </c>
      <c r="I41" s="9">
        <v>365.2</v>
      </c>
      <c r="J41" s="10">
        <f t="shared" si="3"/>
        <v>1.166484118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8"/>
      <c r="B42" s="3"/>
      <c r="C42" s="9">
        <v>4.0</v>
      </c>
      <c r="D42" s="3" t="s">
        <v>14</v>
      </c>
      <c r="E42" s="9">
        <v>2.43734984E7</v>
      </c>
      <c r="F42" s="9">
        <v>3.2353911E7</v>
      </c>
      <c r="G42" s="9">
        <v>13690.4</v>
      </c>
      <c r="H42" s="9">
        <v>1465.0</v>
      </c>
      <c r="I42" s="9">
        <v>358.0</v>
      </c>
      <c r="J42" s="10">
        <f t="shared" si="3"/>
        <v>1.189944134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8"/>
      <c r="B43" s="3"/>
      <c r="C43" s="9">
        <v>4.0</v>
      </c>
      <c r="D43" s="9" t="s">
        <v>15</v>
      </c>
      <c r="E43" s="9">
        <v>2.42913354E7</v>
      </c>
      <c r="F43" s="9">
        <v>3.22931742E7</v>
      </c>
      <c r="G43" s="9">
        <v>11447.4</v>
      </c>
      <c r="H43" s="9">
        <v>721.2</v>
      </c>
      <c r="I43" s="9">
        <v>370.4</v>
      </c>
      <c r="J43" s="10">
        <f t="shared" si="3"/>
        <v>1.150107991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8"/>
      <c r="B44" s="3"/>
      <c r="C44" s="9">
        <v>4.0</v>
      </c>
      <c r="D44" s="9" t="s">
        <v>16</v>
      </c>
      <c r="E44" s="9">
        <v>2.432001E7</v>
      </c>
      <c r="F44" s="9">
        <v>3.23306888E7</v>
      </c>
      <c r="G44" s="9">
        <v>11346.0</v>
      </c>
      <c r="H44" s="9">
        <v>0.0</v>
      </c>
      <c r="I44" s="9">
        <v>356.0</v>
      </c>
      <c r="J44" s="10">
        <f t="shared" si="3"/>
        <v>1.196629213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8"/>
      <c r="B45" s="3"/>
      <c r="C45" s="13">
        <v>8.0</v>
      </c>
      <c r="D45" s="14" t="s">
        <v>14</v>
      </c>
      <c r="E45" s="9">
        <v>2.43584446E7</v>
      </c>
      <c r="F45" s="9">
        <v>3.24056252E7</v>
      </c>
      <c r="G45" s="9">
        <v>10880.4</v>
      </c>
      <c r="H45" s="9">
        <v>1463.4</v>
      </c>
      <c r="I45" s="9">
        <v>353.2</v>
      </c>
      <c r="J45" s="10">
        <f t="shared" si="3"/>
        <v>1.206115515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8"/>
      <c r="B46" s="3"/>
      <c r="C46" s="13">
        <v>8.0</v>
      </c>
      <c r="D46" s="14" t="s">
        <v>15</v>
      </c>
      <c r="E46" s="9">
        <v>2.43337182E7</v>
      </c>
      <c r="F46" s="9">
        <v>3.23552918E7</v>
      </c>
      <c r="G46" s="9">
        <v>11397.2</v>
      </c>
      <c r="H46" s="9">
        <v>717.8</v>
      </c>
      <c r="I46" s="9">
        <v>363.6</v>
      </c>
      <c r="J46" s="10">
        <f t="shared" si="3"/>
        <v>1.171617162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8"/>
      <c r="B47" s="3"/>
      <c r="C47" s="13">
        <v>8.0</v>
      </c>
      <c r="D47" s="14" t="s">
        <v>16</v>
      </c>
      <c r="E47" s="9">
        <v>2.43165186E7</v>
      </c>
      <c r="F47" s="9">
        <v>3.23255536E7</v>
      </c>
      <c r="G47" s="9">
        <v>11745.2</v>
      </c>
      <c r="H47" s="9">
        <v>0.0</v>
      </c>
      <c r="I47" s="9">
        <v>364.4</v>
      </c>
      <c r="J47" s="10">
        <f t="shared" si="3"/>
        <v>1.169045005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8"/>
      <c r="B48" s="3"/>
      <c r="C48" s="9">
        <v>16.0</v>
      </c>
      <c r="D48" s="3" t="s">
        <v>14</v>
      </c>
      <c r="E48" s="9">
        <v>2.4372961E7</v>
      </c>
      <c r="F48" s="9">
        <v>3.24125384E7</v>
      </c>
      <c r="G48" s="9">
        <v>11415.8</v>
      </c>
      <c r="H48" s="9">
        <v>1462.8</v>
      </c>
      <c r="I48" s="9">
        <v>360.0</v>
      </c>
      <c r="J48" s="10">
        <f t="shared" si="3"/>
        <v>1.183333333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8"/>
      <c r="B49" s="3"/>
      <c r="C49" s="9">
        <v>16.0</v>
      </c>
      <c r="D49" s="9" t="s">
        <v>15</v>
      </c>
      <c r="E49" s="9">
        <v>2.4398734E7</v>
      </c>
      <c r="F49" s="9">
        <v>3.2340621E7</v>
      </c>
      <c r="G49" s="9">
        <v>14745.2</v>
      </c>
      <c r="H49" s="9">
        <v>718.2</v>
      </c>
      <c r="I49" s="9">
        <v>362.8</v>
      </c>
      <c r="J49" s="10">
        <f t="shared" si="3"/>
        <v>1.174200662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8"/>
      <c r="B50" s="3"/>
      <c r="C50" s="9">
        <v>16.0</v>
      </c>
      <c r="D50" s="9" t="s">
        <v>16</v>
      </c>
      <c r="E50" s="9">
        <v>2.43821776E7</v>
      </c>
      <c r="F50" s="9">
        <v>3.235203E7</v>
      </c>
      <c r="G50" s="9">
        <v>15061.0</v>
      </c>
      <c r="H50" s="9">
        <v>0.0</v>
      </c>
      <c r="I50" s="9">
        <v>357.6</v>
      </c>
      <c r="J50" s="10">
        <f t="shared" si="3"/>
        <v>1.191275168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8"/>
      <c r="B51" s="3"/>
      <c r="C51" s="9">
        <v>32.0</v>
      </c>
      <c r="D51" s="3" t="s">
        <v>14</v>
      </c>
      <c r="E51" s="9">
        <v>2.43215406E7</v>
      </c>
      <c r="F51" s="9">
        <v>3.23228654E7</v>
      </c>
      <c r="G51" s="9">
        <v>10962.6</v>
      </c>
      <c r="H51" s="9">
        <v>1463.4</v>
      </c>
      <c r="I51" s="9">
        <v>356.8</v>
      </c>
      <c r="J51" s="10">
        <f t="shared" si="3"/>
        <v>1.193946188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8"/>
      <c r="B52" s="3"/>
      <c r="C52" s="9">
        <v>32.0</v>
      </c>
      <c r="D52" s="9" t="s">
        <v>15</v>
      </c>
      <c r="E52" s="9">
        <v>2.42992822E7</v>
      </c>
      <c r="F52" s="9">
        <v>3.23021626E7</v>
      </c>
      <c r="G52" s="9">
        <v>13475.8</v>
      </c>
      <c r="H52" s="9">
        <v>719.2</v>
      </c>
      <c r="I52" s="9">
        <v>368.4</v>
      </c>
      <c r="J52" s="10">
        <f t="shared" si="3"/>
        <v>1.156351792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5"/>
      <c r="B53" s="16"/>
      <c r="C53" s="17">
        <v>32.0</v>
      </c>
      <c r="D53" s="17" t="s">
        <v>16</v>
      </c>
      <c r="E53" s="17">
        <v>2.44724464E7</v>
      </c>
      <c r="F53" s="17">
        <v>3.25110888E7</v>
      </c>
      <c r="G53" s="17">
        <v>12028.8</v>
      </c>
      <c r="H53" s="17">
        <v>0.0</v>
      </c>
      <c r="I53" s="17">
        <v>366.0</v>
      </c>
      <c r="J53" s="18">
        <f t="shared" si="3"/>
        <v>1.163934426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22"/>
      <c r="F54" s="3"/>
      <c r="G54" s="3"/>
      <c r="H54" s="3"/>
      <c r="I54" s="3"/>
      <c r="J54" s="2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F55" s="3"/>
      <c r="G55" s="3"/>
      <c r="H55" s="3"/>
      <c r="I55" s="3"/>
      <c r="J55" s="2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F56" s="3"/>
      <c r="G56" s="3"/>
      <c r="H56" s="3"/>
      <c r="I56" s="3"/>
      <c r="J56" s="2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 t="s">
        <v>10</v>
      </c>
      <c r="B57" s="9" t="s">
        <v>19</v>
      </c>
      <c r="C57" s="3" t="s">
        <v>12</v>
      </c>
      <c r="D57" s="9" t="s">
        <v>12</v>
      </c>
      <c r="E57" s="9">
        <v>3.2326345E7</v>
      </c>
      <c r="F57" s="9">
        <v>4.2986923E7</v>
      </c>
      <c r="G57" s="9">
        <v>69146.0</v>
      </c>
      <c r="H57" s="9">
        <v>0.0</v>
      </c>
      <c r="I57" s="9">
        <v>439.0</v>
      </c>
      <c r="J57" s="19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 t="s">
        <v>13</v>
      </c>
      <c r="B58" s="9" t="s">
        <v>19</v>
      </c>
      <c r="C58" s="9">
        <v>2.0</v>
      </c>
      <c r="D58" s="3" t="s">
        <v>14</v>
      </c>
      <c r="E58" s="9">
        <v>3.24687426E7</v>
      </c>
      <c r="F58" s="9">
        <v>4.31641934E7</v>
      </c>
      <c r="G58" s="9">
        <v>13642.8</v>
      </c>
      <c r="H58" s="9">
        <v>1465.0</v>
      </c>
      <c r="I58" s="9">
        <v>358.4</v>
      </c>
      <c r="J58" s="19">
        <f t="shared" ref="J58:J72" si="4">$I$57/I58</f>
        <v>1.224888393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9"/>
      <c r="B59" s="3"/>
      <c r="C59" s="9">
        <v>2.0</v>
      </c>
      <c r="D59" s="9" t="s">
        <v>15</v>
      </c>
      <c r="E59" s="9">
        <v>3.24237846E7</v>
      </c>
      <c r="F59" s="9">
        <v>4.30618586E7</v>
      </c>
      <c r="G59" s="9">
        <v>14735.4</v>
      </c>
      <c r="H59" s="9">
        <v>721.2</v>
      </c>
      <c r="I59" s="9">
        <v>373.6</v>
      </c>
      <c r="J59" s="19">
        <f t="shared" si="4"/>
        <v>1.175053533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9">
        <v>2.0</v>
      </c>
      <c r="D60" s="9" t="s">
        <v>16</v>
      </c>
      <c r="E60" s="9">
        <v>3.24861172E7</v>
      </c>
      <c r="F60" s="24">
        <v>4.32381254E7</v>
      </c>
      <c r="G60" s="24">
        <v>14040.6</v>
      </c>
      <c r="H60" s="24">
        <v>0.0</v>
      </c>
      <c r="I60" s="24">
        <v>360.2</v>
      </c>
      <c r="J60" s="19">
        <f t="shared" si="4"/>
        <v>1.218767351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9">
        <v>4.0</v>
      </c>
      <c r="D61" s="3" t="s">
        <v>14</v>
      </c>
      <c r="E61" s="24">
        <v>3.24397146E7</v>
      </c>
      <c r="F61" s="24">
        <v>4.3102224E7</v>
      </c>
      <c r="G61" s="24">
        <v>14454.8</v>
      </c>
      <c r="H61" s="24">
        <v>1465.2</v>
      </c>
      <c r="I61" s="24">
        <v>356.6</v>
      </c>
      <c r="J61" s="19">
        <f t="shared" si="4"/>
        <v>1.231071228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9">
        <v>4.0</v>
      </c>
      <c r="D62" s="9" t="s">
        <v>15</v>
      </c>
      <c r="E62" s="24">
        <v>3.2488709E7</v>
      </c>
      <c r="F62" s="24">
        <v>4.32405288E7</v>
      </c>
      <c r="G62" s="24">
        <v>14262.6</v>
      </c>
      <c r="H62" s="24">
        <v>721.2</v>
      </c>
      <c r="I62" s="9">
        <v>369.2</v>
      </c>
      <c r="J62" s="19">
        <f t="shared" si="4"/>
        <v>1.189057421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9">
        <v>4.0</v>
      </c>
      <c r="D63" s="9" t="s">
        <v>16</v>
      </c>
      <c r="E63" s="24">
        <v>3.24334804E7</v>
      </c>
      <c r="F63" s="24">
        <v>4.30895818E7</v>
      </c>
      <c r="G63" s="24">
        <v>14310.0</v>
      </c>
      <c r="H63" s="20">
        <v>0.0</v>
      </c>
      <c r="I63" s="9">
        <v>354.6</v>
      </c>
      <c r="J63" s="19">
        <f t="shared" si="4"/>
        <v>1.238014664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13">
        <v>8.0</v>
      </c>
      <c r="D64" s="14" t="s">
        <v>14</v>
      </c>
      <c r="E64" s="24">
        <v>3.2409089E7</v>
      </c>
      <c r="F64" s="24">
        <v>4.30525778E7</v>
      </c>
      <c r="G64" s="24">
        <v>14113.6</v>
      </c>
      <c r="H64" s="24">
        <v>1463.6</v>
      </c>
      <c r="I64" s="9">
        <v>357.2</v>
      </c>
      <c r="J64" s="19">
        <f t="shared" si="4"/>
        <v>1.229003359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13">
        <v>8.0</v>
      </c>
      <c r="D65" s="14" t="s">
        <v>15</v>
      </c>
      <c r="E65" s="24">
        <v>3.24235884E7</v>
      </c>
      <c r="F65" s="24">
        <v>4.31148114E7</v>
      </c>
      <c r="G65" s="24">
        <v>13718.2</v>
      </c>
      <c r="H65" s="24">
        <v>717.6</v>
      </c>
      <c r="I65" s="9">
        <v>355.8</v>
      </c>
      <c r="J65" s="19">
        <f t="shared" si="4"/>
        <v>1.233839236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13">
        <v>8.0</v>
      </c>
      <c r="D66" s="14" t="s">
        <v>16</v>
      </c>
      <c r="E66" s="24">
        <v>3.24439716E7</v>
      </c>
      <c r="F66" s="24">
        <v>4.31220304E7</v>
      </c>
      <c r="G66" s="24">
        <v>17151.6</v>
      </c>
      <c r="H66" s="24">
        <v>0.0</v>
      </c>
      <c r="I66" s="9">
        <v>363.4</v>
      </c>
      <c r="J66" s="19">
        <f t="shared" si="4"/>
        <v>1.208035223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9">
        <v>16.0</v>
      </c>
      <c r="D67" s="3" t="s">
        <v>14</v>
      </c>
      <c r="E67" s="24">
        <v>3.24108504E7</v>
      </c>
      <c r="F67" s="24">
        <v>4.30736148E7</v>
      </c>
      <c r="G67" s="24">
        <v>19099.4</v>
      </c>
      <c r="H67" s="24">
        <v>1463.0</v>
      </c>
      <c r="I67" s="9">
        <v>373.0</v>
      </c>
      <c r="J67" s="19">
        <f t="shared" si="4"/>
        <v>1.1769437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9">
        <v>16.0</v>
      </c>
      <c r="D68" s="9" t="s">
        <v>15</v>
      </c>
      <c r="E68" s="24">
        <v>3.24243192E7</v>
      </c>
      <c r="F68" s="24">
        <v>4.30885704E7</v>
      </c>
      <c r="G68" s="24">
        <v>13990.2</v>
      </c>
      <c r="H68" s="24">
        <v>718.8</v>
      </c>
      <c r="I68" s="9">
        <v>356.0</v>
      </c>
      <c r="J68" s="19">
        <f t="shared" si="4"/>
        <v>1.233146067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9">
        <v>16.0</v>
      </c>
      <c r="D69" s="9" t="s">
        <v>16</v>
      </c>
      <c r="E69" s="24">
        <v>3.24504056E7</v>
      </c>
      <c r="F69" s="24">
        <v>4.31679602E7</v>
      </c>
      <c r="G69" s="24">
        <v>17009.6</v>
      </c>
      <c r="H69" s="24">
        <v>0.0</v>
      </c>
      <c r="I69" s="9">
        <v>364.0</v>
      </c>
      <c r="J69" s="19">
        <f t="shared" si="4"/>
        <v>1.206043956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9">
        <v>32.0</v>
      </c>
      <c r="D70" s="3" t="s">
        <v>14</v>
      </c>
      <c r="E70" s="24">
        <v>3.2399122E7</v>
      </c>
      <c r="F70" s="24">
        <v>4.30648342E7</v>
      </c>
      <c r="G70" s="24">
        <v>19308.8</v>
      </c>
      <c r="H70" s="24">
        <v>1462.6</v>
      </c>
      <c r="I70" s="9">
        <v>365.4</v>
      </c>
      <c r="J70" s="19">
        <f t="shared" si="4"/>
        <v>1.201423098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9">
        <v>32.0</v>
      </c>
      <c r="D71" s="9" t="s">
        <v>15</v>
      </c>
      <c r="E71" s="24">
        <v>3.24043364E7</v>
      </c>
      <c r="F71" s="24">
        <v>4.30713334E7</v>
      </c>
      <c r="G71" s="24">
        <v>14284.4</v>
      </c>
      <c r="H71" s="24">
        <v>718.2</v>
      </c>
      <c r="I71" s="9">
        <v>360.2</v>
      </c>
      <c r="J71" s="19">
        <f t="shared" si="4"/>
        <v>1.218767351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9">
        <v>32.0</v>
      </c>
      <c r="D72" s="9" t="s">
        <v>16</v>
      </c>
      <c r="E72" s="24">
        <v>3.24141324E7</v>
      </c>
      <c r="F72" s="24">
        <v>4.30698476E7</v>
      </c>
      <c r="G72" s="24">
        <v>14534.0</v>
      </c>
      <c r="H72" s="24">
        <v>0.0</v>
      </c>
      <c r="I72" s="9">
        <v>362.2</v>
      </c>
      <c r="J72" s="19">
        <f t="shared" si="4"/>
        <v>1.212037548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F73" s="3"/>
      <c r="G73" s="3"/>
      <c r="H73" s="3"/>
      <c r="I73" s="3"/>
      <c r="J73" s="2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F74" s="3"/>
      <c r="G74" s="3"/>
      <c r="H74" s="3"/>
      <c r="I74" s="3"/>
      <c r="J74" s="2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F75" s="3"/>
      <c r="G75" s="3"/>
      <c r="H75" s="3"/>
      <c r="I75" s="3"/>
      <c r="J75" s="2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F76" s="3"/>
      <c r="G76" s="3"/>
      <c r="H76" s="3"/>
      <c r="I76" s="3"/>
      <c r="J76" s="2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2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2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/>
      <c r="B79" s="5"/>
      <c r="C79" s="5"/>
      <c r="D79" s="5"/>
      <c r="E79" s="5"/>
      <c r="F79" s="5"/>
      <c r="G79" s="5"/>
      <c r="H79" s="5"/>
      <c r="I79" s="5"/>
      <c r="J79" s="25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8" t="s">
        <v>10</v>
      </c>
      <c r="B80" s="9" t="s">
        <v>20</v>
      </c>
      <c r="C80" s="3" t="s">
        <v>12</v>
      </c>
      <c r="D80" s="9" t="s">
        <v>12</v>
      </c>
      <c r="E80" s="9">
        <v>4.0553288E7</v>
      </c>
      <c r="F80" s="9">
        <v>5.3644038E7</v>
      </c>
      <c r="G80" s="9">
        <v>16448.0</v>
      </c>
      <c r="H80" s="9">
        <v>0.0</v>
      </c>
      <c r="I80" s="9">
        <v>478.0</v>
      </c>
      <c r="J80" s="10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8" t="s">
        <v>13</v>
      </c>
      <c r="B81" s="9" t="s">
        <v>20</v>
      </c>
      <c r="C81" s="9">
        <v>2.0</v>
      </c>
      <c r="D81" s="3" t="s">
        <v>14</v>
      </c>
      <c r="E81" s="9">
        <v>4.0525062E7</v>
      </c>
      <c r="F81" s="9">
        <v>5.38270058E7</v>
      </c>
      <c r="G81" s="9">
        <v>17026.8</v>
      </c>
      <c r="H81" s="24">
        <v>1464.6</v>
      </c>
      <c r="I81" s="24">
        <v>365.2</v>
      </c>
      <c r="J81" s="10">
        <f t="shared" ref="J81:J95" si="5">$I$80/I81</f>
        <v>1.308871851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2"/>
      <c r="B82" s="3"/>
      <c r="C82" s="9">
        <v>2.0</v>
      </c>
      <c r="D82" s="9" t="s">
        <v>15</v>
      </c>
      <c r="E82" s="24">
        <v>4.07232332E7</v>
      </c>
      <c r="F82" s="24">
        <v>5.40489636E7</v>
      </c>
      <c r="G82" s="24">
        <v>16754.4</v>
      </c>
      <c r="H82" s="24">
        <v>721.0</v>
      </c>
      <c r="I82" s="24">
        <v>367.6</v>
      </c>
      <c r="J82" s="10">
        <f t="shared" si="5"/>
        <v>1.300326442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8"/>
      <c r="B83" s="3"/>
      <c r="C83" s="9">
        <v>2.0</v>
      </c>
      <c r="D83" s="9" t="s">
        <v>16</v>
      </c>
      <c r="E83" s="24">
        <v>4.06798542E7</v>
      </c>
      <c r="F83" s="24">
        <v>5.41563238E7</v>
      </c>
      <c r="G83" s="24">
        <v>22340.0</v>
      </c>
      <c r="H83" s="24">
        <v>0.0</v>
      </c>
      <c r="I83" s="24">
        <v>373.6</v>
      </c>
      <c r="J83" s="10">
        <f t="shared" si="5"/>
        <v>1.279443255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8"/>
      <c r="B84" s="3"/>
      <c r="C84" s="9">
        <v>4.0</v>
      </c>
      <c r="D84" s="3" t="s">
        <v>14</v>
      </c>
      <c r="E84" s="24">
        <v>4.05074848E7</v>
      </c>
      <c r="F84" s="24">
        <v>5.38353256E7</v>
      </c>
      <c r="G84" s="24">
        <v>17952.8</v>
      </c>
      <c r="H84" s="24">
        <v>1465.4</v>
      </c>
      <c r="I84" s="24">
        <v>360.6</v>
      </c>
      <c r="J84" s="10">
        <f t="shared" si="5"/>
        <v>1.325568497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8"/>
      <c r="B85" s="3"/>
      <c r="C85" s="9">
        <v>4.0</v>
      </c>
      <c r="D85" s="9" t="s">
        <v>15</v>
      </c>
      <c r="E85" s="24">
        <v>4.05602324E7</v>
      </c>
      <c r="F85" s="24">
        <v>5.38721098E7</v>
      </c>
      <c r="G85" s="24">
        <v>18766.4</v>
      </c>
      <c r="H85" s="24">
        <v>721.2</v>
      </c>
      <c r="I85" s="24">
        <v>369.4</v>
      </c>
      <c r="J85" s="10">
        <f t="shared" si="5"/>
        <v>1.293990254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8"/>
      <c r="B86" s="3"/>
      <c r="C86" s="9">
        <v>4.0</v>
      </c>
      <c r="D86" s="9" t="s">
        <v>16</v>
      </c>
      <c r="E86" s="24">
        <v>4.05488808E7</v>
      </c>
      <c r="F86" s="24">
        <v>5.39290424E7</v>
      </c>
      <c r="G86" s="24">
        <v>21927.8</v>
      </c>
      <c r="H86" s="24">
        <v>0.0</v>
      </c>
      <c r="I86" s="24">
        <v>369.6</v>
      </c>
      <c r="J86" s="10">
        <f t="shared" si="5"/>
        <v>1.293290043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8"/>
      <c r="B87" s="3"/>
      <c r="C87" s="13">
        <v>8.0</v>
      </c>
      <c r="D87" s="14" t="s">
        <v>14</v>
      </c>
      <c r="E87" s="24">
        <v>4.05075608E7</v>
      </c>
      <c r="F87" s="24">
        <v>5.38346822E7</v>
      </c>
      <c r="G87" s="24">
        <v>18465.6</v>
      </c>
      <c r="H87" s="24">
        <v>1462.8</v>
      </c>
      <c r="I87" s="24">
        <v>366.0</v>
      </c>
      <c r="J87" s="10">
        <f t="shared" si="5"/>
        <v>1.306010929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8"/>
      <c r="B88" s="3"/>
      <c r="C88" s="13">
        <v>8.0</v>
      </c>
      <c r="D88" s="14" t="s">
        <v>15</v>
      </c>
      <c r="E88" s="24">
        <v>4.06395774E7</v>
      </c>
      <c r="F88" s="24">
        <v>5.39076454E7</v>
      </c>
      <c r="G88" s="24">
        <v>21304.6</v>
      </c>
      <c r="H88" s="24">
        <v>718.2</v>
      </c>
      <c r="I88" s="24">
        <v>367.6</v>
      </c>
      <c r="J88" s="10">
        <f t="shared" si="5"/>
        <v>1.300326442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8"/>
      <c r="B89" s="3"/>
      <c r="C89" s="13">
        <v>8.0</v>
      </c>
      <c r="D89" s="14" t="s">
        <v>16</v>
      </c>
      <c r="E89" s="24">
        <v>4.04874722E7</v>
      </c>
      <c r="F89" s="24">
        <v>5.38155598E7</v>
      </c>
      <c r="G89" s="24">
        <v>27219.4</v>
      </c>
      <c r="H89" s="24">
        <v>0.0</v>
      </c>
      <c r="I89" s="24">
        <v>368.6</v>
      </c>
      <c r="J89" s="10">
        <f t="shared" si="5"/>
        <v>1.296798698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8"/>
      <c r="B90" s="3"/>
      <c r="C90" s="9">
        <v>16.0</v>
      </c>
      <c r="D90" s="3" t="s">
        <v>14</v>
      </c>
      <c r="E90" s="24">
        <v>4.05824672E7</v>
      </c>
      <c r="F90" s="24">
        <v>5.39560708E7</v>
      </c>
      <c r="G90" s="24">
        <v>18439.8</v>
      </c>
      <c r="H90" s="24">
        <v>1462.0</v>
      </c>
      <c r="I90" s="24">
        <v>369.6</v>
      </c>
      <c r="J90" s="10">
        <f t="shared" si="5"/>
        <v>1.293290043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8"/>
      <c r="B91" s="3"/>
      <c r="C91" s="9">
        <v>16.0</v>
      </c>
      <c r="D91" s="9" t="s">
        <v>15</v>
      </c>
      <c r="E91" s="24">
        <v>4.05121666E7</v>
      </c>
      <c r="F91" s="24">
        <v>5.38285114E7</v>
      </c>
      <c r="G91" s="24">
        <v>16591.8</v>
      </c>
      <c r="H91" s="24">
        <v>718.0</v>
      </c>
      <c r="I91" s="9">
        <v>361.0</v>
      </c>
      <c r="J91" s="10">
        <f t="shared" si="5"/>
        <v>1.324099723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8"/>
      <c r="B92" s="3"/>
      <c r="C92" s="9">
        <v>16.0</v>
      </c>
      <c r="D92" s="9" t="s">
        <v>16</v>
      </c>
      <c r="E92" s="24">
        <v>4.04863396E7</v>
      </c>
      <c r="F92" s="24">
        <v>5.38064804E7</v>
      </c>
      <c r="G92" s="24">
        <v>17643.8</v>
      </c>
      <c r="H92" s="24">
        <v>0.0</v>
      </c>
      <c r="I92" s="24">
        <v>376.0</v>
      </c>
      <c r="J92" s="10">
        <f t="shared" si="5"/>
        <v>1.271276596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8"/>
      <c r="B93" s="3"/>
      <c r="C93" s="9">
        <v>32.0</v>
      </c>
      <c r="D93" s="3" t="s">
        <v>14</v>
      </c>
      <c r="E93" s="24">
        <v>4.05808014E7</v>
      </c>
      <c r="F93" s="24">
        <v>5.38561036E7</v>
      </c>
      <c r="G93" s="24">
        <v>20224.8</v>
      </c>
      <c r="H93" s="24">
        <v>1463.8</v>
      </c>
      <c r="I93" s="24">
        <v>364.0</v>
      </c>
      <c r="J93" s="10">
        <f t="shared" si="5"/>
        <v>1.313186813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8"/>
      <c r="B94" s="3"/>
      <c r="C94" s="9">
        <v>32.0</v>
      </c>
      <c r="D94" s="9" t="s">
        <v>15</v>
      </c>
      <c r="E94" s="24">
        <v>4.04371208E7</v>
      </c>
      <c r="F94" s="24">
        <v>5.37500454E7</v>
      </c>
      <c r="G94" s="24">
        <v>18529.6</v>
      </c>
      <c r="H94" s="24">
        <v>720.2</v>
      </c>
      <c r="I94" s="24">
        <v>368.2</v>
      </c>
      <c r="J94" s="10">
        <f t="shared" si="5"/>
        <v>1.298207496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5"/>
      <c r="B95" s="16"/>
      <c r="C95" s="17">
        <v>32.0</v>
      </c>
      <c r="D95" s="17" t="s">
        <v>16</v>
      </c>
      <c r="E95" s="26">
        <v>4.05204942E7</v>
      </c>
      <c r="F95" s="26">
        <v>5.3863494E7</v>
      </c>
      <c r="G95" s="26">
        <v>20368.8</v>
      </c>
      <c r="H95" s="26">
        <v>0.0</v>
      </c>
      <c r="I95" s="26">
        <v>371.2</v>
      </c>
      <c r="J95" s="18">
        <f t="shared" si="5"/>
        <v>1.287715517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8" t="s">
        <v>10</v>
      </c>
      <c r="B98" s="9" t="s">
        <v>21</v>
      </c>
      <c r="C98" s="3" t="s">
        <v>12</v>
      </c>
      <c r="D98" s="9" t="s">
        <v>12</v>
      </c>
      <c r="E98" s="9">
        <v>4.8330556E7</v>
      </c>
      <c r="F98" s="9">
        <v>6.4222621E7</v>
      </c>
      <c r="G98" s="9">
        <v>17950.0</v>
      </c>
      <c r="H98" s="9">
        <v>0.0</v>
      </c>
      <c r="I98" s="9">
        <v>443.0</v>
      </c>
      <c r="J98" s="10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8" t="s">
        <v>13</v>
      </c>
      <c r="B99" s="9" t="s">
        <v>21</v>
      </c>
      <c r="C99" s="9">
        <v>2.0</v>
      </c>
      <c r="D99" s="3" t="s">
        <v>14</v>
      </c>
      <c r="E99" s="9">
        <v>4.85904058E7</v>
      </c>
      <c r="F99" s="20">
        <v>6.45751138E7</v>
      </c>
      <c r="G99" s="20">
        <v>27014.4</v>
      </c>
      <c r="H99" s="20">
        <v>1464.6</v>
      </c>
      <c r="I99" s="20">
        <v>368.6</v>
      </c>
      <c r="J99" s="10">
        <f t="shared" ref="J99:J113" si="6">$I$80/I98</f>
        <v>1.079006772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2"/>
      <c r="B100" s="3"/>
      <c r="C100" s="9">
        <v>2.0</v>
      </c>
      <c r="D100" s="9" t="s">
        <v>15</v>
      </c>
      <c r="E100" s="20">
        <v>4.8600005E7</v>
      </c>
      <c r="F100" s="20">
        <v>6.46350786E7</v>
      </c>
      <c r="G100" s="20">
        <v>27662.0</v>
      </c>
      <c r="H100" s="20">
        <v>720.8</v>
      </c>
      <c r="I100" s="20">
        <v>362.6</v>
      </c>
      <c r="J100" s="10">
        <f t="shared" si="6"/>
        <v>1.296798698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8"/>
      <c r="B101" s="3"/>
      <c r="C101" s="9">
        <v>2.0</v>
      </c>
      <c r="D101" s="9" t="s">
        <v>16</v>
      </c>
      <c r="E101" s="20">
        <v>4.8573456E7</v>
      </c>
      <c r="F101" s="20">
        <v>6.45858648E7</v>
      </c>
      <c r="G101" s="20">
        <v>23441.8</v>
      </c>
      <c r="H101" s="20">
        <v>0.0</v>
      </c>
      <c r="I101" s="20">
        <v>375.6</v>
      </c>
      <c r="J101" s="10">
        <f t="shared" si="6"/>
        <v>1.318257033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8"/>
      <c r="B102" s="3"/>
      <c r="C102" s="9">
        <v>4.0</v>
      </c>
      <c r="D102" s="3" t="s">
        <v>14</v>
      </c>
      <c r="E102" s="20">
        <v>4.85937298E7</v>
      </c>
      <c r="F102" s="20">
        <v>6.46212538E7</v>
      </c>
      <c r="G102" s="20">
        <v>20684.6</v>
      </c>
      <c r="H102" s="20">
        <v>1465.2</v>
      </c>
      <c r="I102" s="20">
        <v>364.4</v>
      </c>
      <c r="J102" s="10">
        <f t="shared" si="6"/>
        <v>1.272630458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8"/>
      <c r="B103" s="3"/>
      <c r="C103" s="9">
        <v>4.0</v>
      </c>
      <c r="D103" s="9" t="s">
        <v>15</v>
      </c>
      <c r="E103" s="20">
        <v>4.86130184E7</v>
      </c>
      <c r="F103" s="20">
        <v>6.46702046E7</v>
      </c>
      <c r="G103" s="20">
        <v>26065.4</v>
      </c>
      <c r="H103" s="20">
        <v>721.0</v>
      </c>
      <c r="I103" s="20">
        <v>384.2</v>
      </c>
      <c r="J103" s="10">
        <f t="shared" si="6"/>
        <v>1.311745335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8"/>
      <c r="B104" s="3"/>
      <c r="C104" s="9">
        <v>4.0</v>
      </c>
      <c r="D104" s="9" t="s">
        <v>16</v>
      </c>
      <c r="E104" s="20">
        <v>4.86176676E7</v>
      </c>
      <c r="F104" s="20">
        <v>6.45958124E7</v>
      </c>
      <c r="G104" s="20">
        <v>22677.6</v>
      </c>
      <c r="H104" s="20">
        <v>0.0</v>
      </c>
      <c r="I104" s="20">
        <v>364.6</v>
      </c>
      <c r="J104" s="10">
        <f t="shared" si="6"/>
        <v>1.244143675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8"/>
      <c r="B105" s="3"/>
      <c r="C105" s="13">
        <v>8.0</v>
      </c>
      <c r="D105" s="14" t="s">
        <v>14</v>
      </c>
      <c r="E105" s="20">
        <v>4.87561446E7</v>
      </c>
      <c r="F105" s="20">
        <v>6.4698339E7</v>
      </c>
      <c r="G105" s="20">
        <v>24076.6</v>
      </c>
      <c r="H105" s="20">
        <v>1462.6</v>
      </c>
      <c r="I105" s="20">
        <v>366.2</v>
      </c>
      <c r="J105" s="10">
        <f t="shared" si="6"/>
        <v>1.311025782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8"/>
      <c r="B106" s="3"/>
      <c r="C106" s="13">
        <v>8.0</v>
      </c>
      <c r="D106" s="14" t="s">
        <v>15</v>
      </c>
      <c r="E106" s="20">
        <v>4.86537096E7</v>
      </c>
      <c r="F106" s="20">
        <v>6.46926212E7</v>
      </c>
      <c r="G106" s="20">
        <v>23473.0</v>
      </c>
      <c r="H106" s="20">
        <v>720.0</v>
      </c>
      <c r="I106" s="20">
        <v>363.2</v>
      </c>
      <c r="J106" s="10">
        <f t="shared" si="6"/>
        <v>1.305297652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8"/>
      <c r="B107" s="3"/>
      <c r="C107" s="13">
        <v>8.0</v>
      </c>
      <c r="D107" s="14" t="s">
        <v>16</v>
      </c>
      <c r="E107" s="20">
        <v>4.86209842E7</v>
      </c>
      <c r="F107" s="20">
        <v>6.4604955E7</v>
      </c>
      <c r="G107" s="20">
        <v>20539.2</v>
      </c>
      <c r="H107" s="20">
        <v>0.0</v>
      </c>
      <c r="I107" s="20">
        <v>362.0</v>
      </c>
      <c r="J107" s="10">
        <f t="shared" si="6"/>
        <v>1.316079295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8"/>
      <c r="B108" s="3"/>
      <c r="C108" s="9">
        <v>16.0</v>
      </c>
      <c r="D108" s="3" t="s">
        <v>14</v>
      </c>
      <c r="E108" s="20">
        <v>4.86906468E7</v>
      </c>
      <c r="F108" s="20">
        <v>6.47280458E7</v>
      </c>
      <c r="G108" s="20">
        <v>19359.0</v>
      </c>
      <c r="H108" s="20">
        <v>1462.6</v>
      </c>
      <c r="I108" s="20">
        <v>368.8</v>
      </c>
      <c r="J108" s="10">
        <f t="shared" si="6"/>
        <v>1.320441989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8"/>
      <c r="B109" s="3"/>
      <c r="C109" s="9">
        <v>16.0</v>
      </c>
      <c r="D109" s="9" t="s">
        <v>15</v>
      </c>
      <c r="E109" s="20">
        <v>4.8688071E7</v>
      </c>
      <c r="F109" s="20">
        <v>6.4592111E7</v>
      </c>
      <c r="G109" s="20">
        <v>27281.4</v>
      </c>
      <c r="H109" s="20">
        <v>718.2</v>
      </c>
      <c r="I109" s="20">
        <v>377.4</v>
      </c>
      <c r="J109" s="10">
        <f t="shared" si="6"/>
        <v>1.296095445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8"/>
      <c r="B110" s="3"/>
      <c r="C110" s="9">
        <v>16.0</v>
      </c>
      <c r="D110" s="9" t="s">
        <v>16</v>
      </c>
      <c r="E110" s="20">
        <v>4.86495664E7</v>
      </c>
      <c r="F110" s="20">
        <v>6.46718352E7</v>
      </c>
      <c r="G110" s="20">
        <v>27815.0</v>
      </c>
      <c r="H110" s="20">
        <v>0.0</v>
      </c>
      <c r="I110" s="9">
        <v>364.4</v>
      </c>
      <c r="J110" s="10">
        <f t="shared" si="6"/>
        <v>1.266560678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8"/>
      <c r="B111" s="3"/>
      <c r="C111" s="9">
        <v>32.0</v>
      </c>
      <c r="D111" s="3" t="s">
        <v>14</v>
      </c>
      <c r="E111" s="20">
        <v>4.86277276E7</v>
      </c>
      <c r="F111" s="20">
        <v>6.46776522E7</v>
      </c>
      <c r="G111" s="20">
        <v>19736.4</v>
      </c>
      <c r="H111" s="20">
        <v>1462.6</v>
      </c>
      <c r="I111" s="9">
        <v>373.6</v>
      </c>
      <c r="J111" s="10">
        <f t="shared" si="6"/>
        <v>1.311745335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8"/>
      <c r="B112" s="3"/>
      <c r="C112" s="9">
        <v>32.0</v>
      </c>
      <c r="D112" s="9" t="s">
        <v>15</v>
      </c>
      <c r="E112" s="20">
        <v>4.85883658E7</v>
      </c>
      <c r="F112" s="20">
        <v>6.46071404E7</v>
      </c>
      <c r="G112" s="20">
        <v>21196.0</v>
      </c>
      <c r="H112" s="20">
        <v>719.4</v>
      </c>
      <c r="I112" s="9">
        <v>367.0</v>
      </c>
      <c r="J112" s="10">
        <f t="shared" si="6"/>
        <v>1.279443255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5"/>
      <c r="B113" s="16"/>
      <c r="C113" s="17">
        <v>32.0</v>
      </c>
      <c r="D113" s="17" t="s">
        <v>16</v>
      </c>
      <c r="E113" s="20">
        <v>4.85736384E7</v>
      </c>
      <c r="F113" s="20">
        <v>6.45803366E7</v>
      </c>
      <c r="G113" s="20">
        <v>21079.0</v>
      </c>
      <c r="H113" s="20">
        <v>0.0</v>
      </c>
      <c r="I113" s="9">
        <v>367.8</v>
      </c>
      <c r="J113" s="10">
        <f t="shared" si="6"/>
        <v>1.302452316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F114" s="3"/>
      <c r="G114" s="3"/>
      <c r="H114" s="3"/>
      <c r="I114" s="3"/>
      <c r="J114" s="2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F115" s="3"/>
      <c r="G115" s="3"/>
      <c r="H115" s="3"/>
      <c r="I115" s="3"/>
      <c r="J115" s="2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8" t="s">
        <v>10</v>
      </c>
      <c r="B116" s="9" t="s">
        <v>22</v>
      </c>
      <c r="C116" s="3" t="s">
        <v>12</v>
      </c>
      <c r="D116" s="9" t="s">
        <v>12</v>
      </c>
      <c r="E116" s="9">
        <v>5.6418295E7</v>
      </c>
      <c r="F116" s="9">
        <v>7.4923943E7</v>
      </c>
      <c r="G116" s="9">
        <v>20887.0</v>
      </c>
      <c r="H116" s="9">
        <v>0.0</v>
      </c>
      <c r="I116" s="9">
        <v>459.0</v>
      </c>
      <c r="J116" s="10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8" t="s">
        <v>13</v>
      </c>
      <c r="B117" s="9" t="s">
        <v>22</v>
      </c>
      <c r="C117" s="9">
        <v>2.0</v>
      </c>
      <c r="D117" s="3" t="s">
        <v>14</v>
      </c>
      <c r="E117" s="9">
        <v>5.66235184E7</v>
      </c>
      <c r="F117" s="20">
        <v>7.5266971E7</v>
      </c>
      <c r="G117" s="20">
        <v>22587.6</v>
      </c>
      <c r="H117" s="20">
        <v>1465.0</v>
      </c>
      <c r="I117" s="20">
        <v>380.0</v>
      </c>
      <c r="J117" s="10">
        <f t="shared" ref="J117:J131" si="7">$I$116/I117</f>
        <v>1.207894737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2"/>
      <c r="B118" s="3"/>
      <c r="C118" s="9">
        <v>2.0</v>
      </c>
      <c r="D118" s="9" t="s">
        <v>15</v>
      </c>
      <c r="E118" s="20">
        <v>5.67099922E7</v>
      </c>
      <c r="F118" s="20">
        <v>7.53323482E7</v>
      </c>
      <c r="G118" s="20">
        <v>21947.0</v>
      </c>
      <c r="H118" s="20">
        <v>720.6</v>
      </c>
      <c r="I118" s="20">
        <v>369.0</v>
      </c>
      <c r="J118" s="10">
        <f t="shared" si="7"/>
        <v>1.243902439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8"/>
      <c r="B119" s="3"/>
      <c r="C119" s="9">
        <v>2.0</v>
      </c>
      <c r="D119" s="9" t="s">
        <v>16</v>
      </c>
      <c r="E119" s="20">
        <v>5.66367518E7</v>
      </c>
      <c r="F119" s="20">
        <v>7.53327998E7</v>
      </c>
      <c r="G119" s="20">
        <v>22809.6</v>
      </c>
      <c r="H119" s="20">
        <v>0.0</v>
      </c>
      <c r="I119" s="20">
        <v>369.6</v>
      </c>
      <c r="J119" s="10">
        <f t="shared" si="7"/>
        <v>1.241883117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8"/>
      <c r="B120" s="3"/>
      <c r="C120" s="9">
        <v>4.0</v>
      </c>
      <c r="D120" s="3" t="s">
        <v>14</v>
      </c>
      <c r="E120" s="20">
        <v>5.67685786E7</v>
      </c>
      <c r="F120" s="20">
        <v>7.54540672E7</v>
      </c>
      <c r="G120" s="20">
        <v>25080.2</v>
      </c>
      <c r="H120" s="20">
        <v>1465.0</v>
      </c>
      <c r="I120" s="20">
        <v>378.0</v>
      </c>
      <c r="J120" s="10">
        <f t="shared" si="7"/>
        <v>1.214285714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8"/>
      <c r="B121" s="3"/>
      <c r="C121" s="9">
        <v>4.0</v>
      </c>
      <c r="D121" s="9" t="s">
        <v>15</v>
      </c>
      <c r="E121" s="20">
        <v>5.67762948E7</v>
      </c>
      <c r="F121" s="20">
        <v>7.54969354E7</v>
      </c>
      <c r="G121" s="20">
        <v>27263.6</v>
      </c>
      <c r="H121" s="20">
        <v>720.6</v>
      </c>
      <c r="I121" s="20">
        <v>375.0</v>
      </c>
      <c r="J121" s="10">
        <f t="shared" si="7"/>
        <v>1.224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8"/>
      <c r="B122" s="3"/>
      <c r="C122" s="9">
        <v>4.0</v>
      </c>
      <c r="D122" s="9" t="s">
        <v>16</v>
      </c>
      <c r="E122" s="20">
        <v>5.67241224E7</v>
      </c>
      <c r="F122" s="20">
        <v>7.53875266E7</v>
      </c>
      <c r="G122" s="20">
        <v>22303.8</v>
      </c>
      <c r="H122" s="20">
        <v>0.0</v>
      </c>
      <c r="I122" s="20">
        <v>365.0</v>
      </c>
      <c r="J122" s="10">
        <f t="shared" si="7"/>
        <v>1.257534247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8"/>
      <c r="B123" s="3"/>
      <c r="C123" s="13">
        <v>8.0</v>
      </c>
      <c r="D123" s="14" t="s">
        <v>14</v>
      </c>
      <c r="E123" s="20">
        <v>5.67106688E7</v>
      </c>
      <c r="F123" s="20">
        <v>7.53897496E7</v>
      </c>
      <c r="G123" s="20">
        <v>22187.6</v>
      </c>
      <c r="H123" s="20">
        <v>1462.8</v>
      </c>
      <c r="I123" s="20">
        <v>367.8</v>
      </c>
      <c r="J123" s="10">
        <f t="shared" si="7"/>
        <v>1.247960848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8"/>
      <c r="B124" s="3"/>
      <c r="C124" s="13">
        <v>8.0</v>
      </c>
      <c r="D124" s="14" t="s">
        <v>15</v>
      </c>
      <c r="E124" s="20">
        <v>5.67656252E7</v>
      </c>
      <c r="F124" s="20">
        <v>7.52817714E7</v>
      </c>
      <c r="G124" s="20">
        <v>22841.8</v>
      </c>
      <c r="H124" s="20">
        <v>718.6</v>
      </c>
      <c r="I124" s="20">
        <v>364.8</v>
      </c>
      <c r="J124" s="10">
        <f t="shared" si="7"/>
        <v>1.258223684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8"/>
      <c r="B125" s="3"/>
      <c r="C125" s="13">
        <v>8.0</v>
      </c>
      <c r="D125" s="14" t="s">
        <v>16</v>
      </c>
      <c r="E125" s="20">
        <v>5.67457664E7</v>
      </c>
      <c r="F125" s="20">
        <v>7.5387208E7</v>
      </c>
      <c r="G125" s="20">
        <v>22823.4</v>
      </c>
      <c r="H125" s="20">
        <v>0.0</v>
      </c>
      <c r="I125" s="20">
        <v>365.6</v>
      </c>
      <c r="J125" s="10">
        <f t="shared" si="7"/>
        <v>1.25547046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8"/>
      <c r="B126" s="3"/>
      <c r="C126" s="9">
        <v>16.0</v>
      </c>
      <c r="D126" s="3" t="s">
        <v>14</v>
      </c>
      <c r="E126" s="20">
        <v>5.66610604E7</v>
      </c>
      <c r="F126" s="20">
        <v>7.53044594E7</v>
      </c>
      <c r="G126" s="20">
        <v>24605.8</v>
      </c>
      <c r="H126" s="20">
        <v>1462.8</v>
      </c>
      <c r="I126" s="20">
        <v>367.0</v>
      </c>
      <c r="J126" s="10">
        <f t="shared" si="7"/>
        <v>1.250681199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8"/>
      <c r="B127" s="3"/>
      <c r="C127" s="9">
        <v>16.0</v>
      </c>
      <c r="D127" s="9" t="s">
        <v>15</v>
      </c>
      <c r="E127" s="20">
        <v>5.67069168E7</v>
      </c>
      <c r="F127" s="20">
        <v>7.53788828E7</v>
      </c>
      <c r="G127" s="20">
        <v>28822.2</v>
      </c>
      <c r="H127" s="20">
        <v>718.4</v>
      </c>
      <c r="I127" s="20">
        <v>371.4</v>
      </c>
      <c r="J127" s="10">
        <f t="shared" si="7"/>
        <v>1.235864297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8"/>
      <c r="B128" s="3"/>
      <c r="C128" s="9">
        <v>16.0</v>
      </c>
      <c r="D128" s="9" t="s">
        <v>16</v>
      </c>
      <c r="E128" s="20">
        <v>5.66475826E7</v>
      </c>
      <c r="F128" s="20">
        <v>7.52461546E7</v>
      </c>
      <c r="G128" s="20">
        <v>24316.0</v>
      </c>
      <c r="H128" s="20">
        <v>0.0</v>
      </c>
      <c r="I128" s="9">
        <v>367.2</v>
      </c>
      <c r="J128" s="10">
        <f t="shared" si="7"/>
        <v>1.25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8"/>
      <c r="B129" s="3"/>
      <c r="C129" s="9">
        <v>32.0</v>
      </c>
      <c r="D129" s="3" t="s">
        <v>14</v>
      </c>
      <c r="E129" s="20">
        <v>5.67478584E7</v>
      </c>
      <c r="F129" s="20">
        <v>7.53875146E7</v>
      </c>
      <c r="G129" s="20">
        <v>22687.4</v>
      </c>
      <c r="H129" s="20">
        <v>1464.0</v>
      </c>
      <c r="I129" s="9">
        <v>370.4</v>
      </c>
      <c r="J129" s="10">
        <f t="shared" si="7"/>
        <v>1.239200864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8"/>
      <c r="B130" s="3"/>
      <c r="C130" s="9">
        <v>32.0</v>
      </c>
      <c r="D130" s="9" t="s">
        <v>15</v>
      </c>
      <c r="E130" s="20">
        <v>5.6743302E7</v>
      </c>
      <c r="F130" s="20">
        <v>7.55049546E7</v>
      </c>
      <c r="G130" s="20">
        <v>26648.6</v>
      </c>
      <c r="H130" s="20">
        <v>719.0</v>
      </c>
      <c r="I130" s="9">
        <v>376.0</v>
      </c>
      <c r="J130" s="10">
        <f t="shared" si="7"/>
        <v>1.220744681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5"/>
      <c r="B131" s="16"/>
      <c r="C131" s="17">
        <v>32.0</v>
      </c>
      <c r="D131" s="17" t="s">
        <v>16</v>
      </c>
      <c r="E131" s="20">
        <v>5.6818721E7</v>
      </c>
      <c r="F131" s="20">
        <v>7.55597514E7</v>
      </c>
      <c r="G131" s="20">
        <v>27504.8</v>
      </c>
      <c r="H131" s="20">
        <v>0.0</v>
      </c>
      <c r="I131" s="9">
        <v>393.4</v>
      </c>
      <c r="J131" s="10">
        <f t="shared" si="7"/>
        <v>1.166751398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F132" s="3"/>
      <c r="G132" s="3"/>
      <c r="H132" s="3"/>
      <c r="I132" s="3"/>
      <c r="J132" s="2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F133" s="3"/>
      <c r="G133" s="3"/>
      <c r="H133" s="3"/>
      <c r="I133" s="3"/>
      <c r="J133" s="2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8" t="s">
        <v>10</v>
      </c>
      <c r="B134" s="9" t="s">
        <v>23</v>
      </c>
      <c r="C134" s="3" t="s">
        <v>12</v>
      </c>
      <c r="D134" s="9" t="s">
        <v>12</v>
      </c>
      <c r="E134" s="9">
        <v>6.4461391E7</v>
      </c>
      <c r="F134" s="9">
        <v>8.5660594E7</v>
      </c>
      <c r="G134" s="9">
        <v>23172.0</v>
      </c>
      <c r="H134" s="9">
        <v>0.0</v>
      </c>
      <c r="I134" s="9">
        <v>442.0</v>
      </c>
      <c r="J134" s="10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8" t="s">
        <v>13</v>
      </c>
      <c r="B135" s="9" t="s">
        <v>23</v>
      </c>
      <c r="C135" s="9">
        <v>2.0</v>
      </c>
      <c r="D135" s="3" t="s">
        <v>14</v>
      </c>
      <c r="E135" s="9">
        <v>6.48179576E7</v>
      </c>
      <c r="F135" s="9">
        <v>8.6192881E7</v>
      </c>
      <c r="G135" s="9">
        <v>30481.2</v>
      </c>
      <c r="H135" s="9">
        <v>1464.8</v>
      </c>
      <c r="I135" s="9">
        <v>375.6</v>
      </c>
      <c r="J135" s="10">
        <f t="shared" ref="J135:J149" si="8">$I$134/I135</f>
        <v>1.176783813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2"/>
      <c r="B136" s="3"/>
      <c r="C136" s="9">
        <v>2.0</v>
      </c>
      <c r="D136" s="9" t="s">
        <v>15</v>
      </c>
      <c r="E136" s="27">
        <v>6.50186164E7</v>
      </c>
      <c r="F136" s="27">
        <v>8.62766788E7</v>
      </c>
      <c r="G136" s="27">
        <v>26164.4</v>
      </c>
      <c r="H136" s="9">
        <v>720.8</v>
      </c>
      <c r="I136" s="9">
        <v>381.0</v>
      </c>
      <c r="J136" s="10">
        <f t="shared" si="8"/>
        <v>1.160104987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8"/>
      <c r="B137" s="3"/>
      <c r="C137" s="9">
        <v>2.0</v>
      </c>
      <c r="D137" s="9" t="s">
        <v>16</v>
      </c>
      <c r="E137" s="27">
        <v>6.48839668E7</v>
      </c>
      <c r="F137" s="27">
        <v>8.62702814E7</v>
      </c>
      <c r="G137" s="27">
        <v>30412.0</v>
      </c>
      <c r="H137" s="9">
        <v>0.0</v>
      </c>
      <c r="I137" s="9">
        <v>378.6</v>
      </c>
      <c r="J137" s="10">
        <f t="shared" si="8"/>
        <v>1.16745906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8"/>
      <c r="B138" s="3"/>
      <c r="C138" s="9">
        <v>4.0</v>
      </c>
      <c r="D138" s="3" t="s">
        <v>14</v>
      </c>
      <c r="E138" s="27">
        <v>6.47144054E7</v>
      </c>
      <c r="F138" s="27">
        <v>8.59928098E7</v>
      </c>
      <c r="G138" s="27">
        <v>33132.2</v>
      </c>
      <c r="H138" s="9">
        <v>1464.8</v>
      </c>
      <c r="I138" s="9">
        <v>372.8</v>
      </c>
      <c r="J138" s="10">
        <f t="shared" si="8"/>
        <v>1.185622318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8"/>
      <c r="B139" s="3"/>
      <c r="C139" s="9">
        <v>4.0</v>
      </c>
      <c r="D139" s="9" t="s">
        <v>15</v>
      </c>
      <c r="E139" s="27">
        <v>6.4830374E7</v>
      </c>
      <c r="F139" s="27">
        <v>8.62416074E7</v>
      </c>
      <c r="G139" s="27">
        <v>25930.0</v>
      </c>
      <c r="H139" s="9">
        <v>720.6</v>
      </c>
      <c r="I139" s="9">
        <v>386.2</v>
      </c>
      <c r="J139" s="10">
        <f t="shared" si="8"/>
        <v>1.144484723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8"/>
      <c r="B140" s="3"/>
      <c r="C140" s="9">
        <v>4.0</v>
      </c>
      <c r="D140" s="9" t="s">
        <v>16</v>
      </c>
      <c r="E140" s="27">
        <v>6.48723998E7</v>
      </c>
      <c r="F140" s="27">
        <v>8.61050504E7</v>
      </c>
      <c r="G140" s="27">
        <v>24204.8</v>
      </c>
      <c r="H140" s="9">
        <v>0.0</v>
      </c>
      <c r="I140" s="9">
        <v>370.4</v>
      </c>
      <c r="J140" s="10">
        <f t="shared" si="8"/>
        <v>1.193304536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8"/>
      <c r="B141" s="3"/>
      <c r="C141" s="13">
        <v>8.0</v>
      </c>
      <c r="D141" s="14" t="s">
        <v>14</v>
      </c>
      <c r="E141" s="27">
        <v>6.48041346E7</v>
      </c>
      <c r="F141" s="27">
        <v>8.60755612E7</v>
      </c>
      <c r="G141" s="27">
        <v>24600.8</v>
      </c>
      <c r="H141" s="9">
        <v>1462.4</v>
      </c>
      <c r="I141" s="9">
        <v>369.2</v>
      </c>
      <c r="J141" s="10">
        <f t="shared" si="8"/>
        <v>1.197183099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8"/>
      <c r="B142" s="3"/>
      <c r="C142" s="13">
        <v>8.0</v>
      </c>
      <c r="D142" s="14" t="s">
        <v>15</v>
      </c>
      <c r="E142" s="27">
        <v>6.476036E7</v>
      </c>
      <c r="F142" s="27">
        <v>8.60369854E7</v>
      </c>
      <c r="G142" s="27">
        <v>25125.2</v>
      </c>
      <c r="H142" s="9">
        <v>719.0</v>
      </c>
      <c r="I142" s="9">
        <v>376.8</v>
      </c>
      <c r="J142" s="10">
        <f t="shared" si="8"/>
        <v>1.173036093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8"/>
      <c r="B143" s="3"/>
      <c r="C143" s="13">
        <v>8.0</v>
      </c>
      <c r="D143" s="14" t="s">
        <v>16</v>
      </c>
      <c r="E143" s="27">
        <v>6.4839284E7</v>
      </c>
      <c r="F143" s="27">
        <v>8.61668632E7</v>
      </c>
      <c r="G143" s="27">
        <v>28705.2</v>
      </c>
      <c r="H143" s="9">
        <v>0.0</v>
      </c>
      <c r="I143" s="9">
        <v>374.0</v>
      </c>
      <c r="J143" s="10">
        <f t="shared" si="8"/>
        <v>1.181818182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8"/>
      <c r="B144" s="3"/>
      <c r="C144" s="9">
        <v>16.0</v>
      </c>
      <c r="D144" s="3" t="s">
        <v>14</v>
      </c>
      <c r="E144" s="27">
        <v>6.4907543E7</v>
      </c>
      <c r="F144" s="27">
        <v>8.63394596E7</v>
      </c>
      <c r="G144" s="27">
        <v>28287.6</v>
      </c>
      <c r="H144" s="9">
        <v>1462.8</v>
      </c>
      <c r="I144" s="9">
        <v>372.8</v>
      </c>
      <c r="J144" s="10">
        <f t="shared" si="8"/>
        <v>1.185622318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8"/>
      <c r="B145" s="3"/>
      <c r="C145" s="9">
        <v>16.0</v>
      </c>
      <c r="D145" s="9" t="s">
        <v>15</v>
      </c>
      <c r="E145" s="27">
        <v>6.49370746E7</v>
      </c>
      <c r="F145" s="27">
        <v>8.626245E7</v>
      </c>
      <c r="G145" s="27">
        <v>24300.6</v>
      </c>
      <c r="H145" s="9">
        <v>719.6</v>
      </c>
      <c r="I145" s="9">
        <v>376.6</v>
      </c>
      <c r="J145" s="10">
        <f t="shared" si="8"/>
        <v>1.173659055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8"/>
      <c r="B146" s="3"/>
      <c r="C146" s="9">
        <v>16.0</v>
      </c>
      <c r="D146" s="9" t="s">
        <v>16</v>
      </c>
      <c r="E146" s="27">
        <v>6.477808E7</v>
      </c>
      <c r="F146" s="27">
        <v>8.6047139E7</v>
      </c>
      <c r="G146" s="27">
        <v>25644.0</v>
      </c>
      <c r="H146" s="9">
        <v>0.0</v>
      </c>
      <c r="I146" s="9">
        <v>383.2</v>
      </c>
      <c r="J146" s="10">
        <f t="shared" si="8"/>
        <v>1.153444676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8"/>
      <c r="B147" s="3"/>
      <c r="C147" s="9">
        <v>32.0</v>
      </c>
      <c r="D147" s="3" t="s">
        <v>14</v>
      </c>
      <c r="E147" s="27">
        <v>6.47976522E7</v>
      </c>
      <c r="F147" s="27">
        <v>8.61093566E7</v>
      </c>
      <c r="G147" s="27">
        <v>24276.0</v>
      </c>
      <c r="H147" s="9">
        <v>1463.0</v>
      </c>
      <c r="I147" s="9">
        <v>371.2</v>
      </c>
      <c r="J147" s="10">
        <f t="shared" si="8"/>
        <v>1.190732759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8"/>
      <c r="B148" s="3"/>
      <c r="C148" s="9">
        <v>32.0</v>
      </c>
      <c r="D148" s="9" t="s">
        <v>15</v>
      </c>
      <c r="E148" s="27">
        <v>6.49237318E7</v>
      </c>
      <c r="F148" s="27">
        <v>8.6251764E7</v>
      </c>
      <c r="G148" s="27">
        <v>25360.8</v>
      </c>
      <c r="H148" s="9">
        <v>718.6</v>
      </c>
      <c r="I148" s="9">
        <v>367.4</v>
      </c>
      <c r="J148" s="10">
        <f t="shared" si="8"/>
        <v>1.203048449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5"/>
      <c r="B149" s="16"/>
      <c r="C149" s="17">
        <v>32.0</v>
      </c>
      <c r="D149" s="17" t="s">
        <v>16</v>
      </c>
      <c r="E149" s="27">
        <v>6.47115708E7</v>
      </c>
      <c r="F149" s="9">
        <v>8.60171622E7</v>
      </c>
      <c r="G149" s="9">
        <v>25703.2</v>
      </c>
      <c r="H149" s="9">
        <v>0.0</v>
      </c>
      <c r="I149" s="9">
        <v>371.6</v>
      </c>
      <c r="J149" s="10">
        <f t="shared" si="8"/>
        <v>1.189451023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F150" s="3"/>
      <c r="G150" s="3"/>
      <c r="H150" s="3"/>
      <c r="I150" s="3"/>
      <c r="J150" s="2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F151" s="3"/>
      <c r="G151" s="3"/>
      <c r="H151" s="3"/>
      <c r="I151" s="3"/>
      <c r="J151" s="2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F152" s="3"/>
      <c r="G152" s="3"/>
      <c r="H152" s="3"/>
      <c r="I152" s="3"/>
      <c r="J152" s="2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F153" s="3"/>
      <c r="G153" s="3"/>
      <c r="H153" s="3"/>
      <c r="I153" s="3"/>
      <c r="J153" s="2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F154" s="3"/>
      <c r="G154" s="3"/>
      <c r="H154" s="3"/>
      <c r="I154" s="3"/>
      <c r="J154" s="2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F155" s="3"/>
      <c r="G155" s="3"/>
      <c r="H155" s="3"/>
      <c r="I155" s="3"/>
      <c r="J155" s="2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F156" s="3"/>
      <c r="G156" s="3"/>
      <c r="H156" s="3"/>
      <c r="I156" s="3"/>
      <c r="J156" s="2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2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2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2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2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2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2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2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2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2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2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2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2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2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2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2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2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2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2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2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2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2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2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2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2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2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2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2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2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2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2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2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2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2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2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2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2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2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2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2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2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2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2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2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2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2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2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2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2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2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2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2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2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2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2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2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2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2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2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2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2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2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2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2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2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2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2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2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2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2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2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2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2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2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2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2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2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2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2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2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2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2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2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2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2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2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2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2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2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2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2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2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2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2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2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2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2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2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2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2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2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2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2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2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2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2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2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2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2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2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2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2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2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2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2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2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2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2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2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2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2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2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2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2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2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2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2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2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2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2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2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2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2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2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2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2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2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2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2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2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2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2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2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2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2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2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2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2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2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2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2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2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2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2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2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2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2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2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2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2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2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2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2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2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2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2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2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2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2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2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2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2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2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2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2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2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2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2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2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2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2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2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2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2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2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2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2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2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2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2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2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2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2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2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2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2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2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2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2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2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2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2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2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2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2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2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2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2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2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2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2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2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2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2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2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2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2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2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2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2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2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2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2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2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2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2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2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2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2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2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2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2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2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2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2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2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2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2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2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2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2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2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2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2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2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2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2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2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2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2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2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2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2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2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2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2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2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2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2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2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2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2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2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2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2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2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2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2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2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2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2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2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2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2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2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2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2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2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2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2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2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2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2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2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2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2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2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2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2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2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2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2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2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2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2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2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2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2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2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2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2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2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2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2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2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2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2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2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2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2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2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2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2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2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2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2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2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2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2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2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2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2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2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2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2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2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2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2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2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2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2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2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2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2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2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2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2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2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2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2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2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2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2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2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2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2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2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2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2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2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2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2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2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2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2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2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2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2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2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2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2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2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2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2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2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2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2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2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2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2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2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2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2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2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2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2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2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2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2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2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2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2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2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2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2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2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2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2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2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2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2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2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2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2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2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2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2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2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2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2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2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2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2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2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2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2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2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2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2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2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2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2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2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2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2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2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2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2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2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2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2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2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2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2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2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2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2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2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2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2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2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2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2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2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2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2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2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2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2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2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2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2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2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2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2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2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2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2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2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2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2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2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2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2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2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2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2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2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2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2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2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2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2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2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2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2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2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2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2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2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2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2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2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2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2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2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2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2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2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2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2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2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2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2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2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2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2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2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2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2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2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2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2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2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2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2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2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2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2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2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2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2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2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2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2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2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2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2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2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2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2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2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2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2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2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2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2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2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2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2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2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2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2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2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2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2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2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2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2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2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2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2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2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2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2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2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2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2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2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2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2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2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2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2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2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2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2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2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2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2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2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2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2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2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2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2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2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2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2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2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2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2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2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2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2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2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2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2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2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2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2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2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2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2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2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2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2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2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2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2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2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2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2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2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2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2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2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2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2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2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2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2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2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2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2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2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2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2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2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2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2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2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2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2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2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2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2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2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2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2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2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2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2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2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2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2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2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2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2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2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2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2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2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2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2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2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2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2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2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2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2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2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2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2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2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2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2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2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2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2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2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2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2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2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2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2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2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2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2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2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2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2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2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2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2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2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2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2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2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2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2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2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2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2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2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2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2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2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2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2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2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2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2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2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2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2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2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2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2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2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2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2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2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2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2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2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2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2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2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2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2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2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2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2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2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2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2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2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2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2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2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2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2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2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2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2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2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2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2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2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2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2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2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2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2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2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2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2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2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2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2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2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2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2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2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2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2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2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2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2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2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2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2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2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2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2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2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2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2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2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2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2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2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2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2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2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2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2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2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2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2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2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2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2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2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2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2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2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2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2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2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2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2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2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2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2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2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2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2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2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2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2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2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2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2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2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2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2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2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2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2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2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2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2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2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2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2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2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2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2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2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2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2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2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2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2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2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2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2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2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2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2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2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2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2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2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2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2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2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2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2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2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2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2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2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2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2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2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2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2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2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2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2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2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2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2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2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2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2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2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2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2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2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2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2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2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2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2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2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2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2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2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2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2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2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2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2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2.0"/>
    <col customWidth="1" min="3" max="4" width="25.29"/>
    <col customWidth="1" min="5" max="5" width="25.14"/>
    <col customWidth="1" min="6" max="6" width="25.43"/>
    <col customWidth="1" min="7" max="7" width="27.86"/>
    <col customWidth="1" min="8" max="8" width="25.86"/>
    <col customWidth="1" min="9" max="9" width="25.29"/>
    <col customWidth="1" min="10" max="10" width="24.86"/>
    <col customWidth="1" min="11" max="11" width="23.43"/>
    <col customWidth="1" min="12" max="12" width="22.57"/>
  </cols>
  <sheetData>
    <row r="1">
      <c r="E1" s="3"/>
      <c r="F1" s="3"/>
      <c r="G1" s="23"/>
    </row>
    <row r="2">
      <c r="C2" s="28"/>
      <c r="D2" s="28"/>
      <c r="E2" s="29"/>
      <c r="F2" s="29"/>
      <c r="J2" s="28"/>
    </row>
    <row r="3">
      <c r="C3" s="28"/>
      <c r="D3" s="28"/>
      <c r="F3" s="30"/>
      <c r="G3" s="31"/>
      <c r="H3" s="32"/>
      <c r="I3" s="32"/>
      <c r="J3" s="32"/>
      <c r="K3" s="32"/>
      <c r="L3" s="32"/>
    </row>
    <row r="4">
      <c r="C4" s="28"/>
      <c r="D4" s="28"/>
      <c r="E4" s="30"/>
      <c r="F4" s="33"/>
      <c r="G4" s="34"/>
      <c r="H4" s="35"/>
      <c r="I4" s="35"/>
      <c r="J4" s="35"/>
      <c r="K4" s="35"/>
      <c r="L4" s="35"/>
    </row>
    <row r="5">
      <c r="C5" s="28"/>
      <c r="D5" s="28"/>
      <c r="E5" s="30"/>
      <c r="F5" s="33"/>
      <c r="G5" s="34"/>
      <c r="H5" s="35"/>
      <c r="I5" s="35"/>
      <c r="J5" s="35"/>
      <c r="K5" s="35"/>
      <c r="L5" s="35"/>
    </row>
    <row r="6">
      <c r="C6" s="28"/>
      <c r="D6" s="28"/>
      <c r="E6" s="30"/>
      <c r="F6" s="33"/>
      <c r="G6" s="34"/>
      <c r="H6" s="35"/>
      <c r="I6" s="35"/>
      <c r="J6" s="35"/>
      <c r="K6" s="35"/>
      <c r="L6" s="35"/>
    </row>
    <row r="7">
      <c r="C7" s="28"/>
      <c r="D7" s="28"/>
      <c r="E7" s="30"/>
      <c r="F7" s="33"/>
      <c r="G7" s="34"/>
      <c r="H7" s="35"/>
      <c r="I7" s="35"/>
      <c r="J7" s="35"/>
      <c r="K7" s="35"/>
      <c r="L7" s="35"/>
    </row>
    <row r="8">
      <c r="C8" s="28"/>
      <c r="D8" s="28"/>
      <c r="E8" s="29"/>
      <c r="F8" s="33"/>
      <c r="G8" s="34"/>
      <c r="H8" s="35"/>
      <c r="I8" s="35"/>
      <c r="J8" s="35"/>
      <c r="K8" s="35"/>
      <c r="L8" s="35"/>
    </row>
    <row r="9">
      <c r="E9" s="3"/>
      <c r="F9" s="3"/>
      <c r="G9" s="23"/>
    </row>
    <row r="10">
      <c r="B10" s="36"/>
      <c r="C10" s="36"/>
      <c r="D10" s="36"/>
      <c r="E10" s="37"/>
      <c r="F10" s="37"/>
      <c r="G10" s="38"/>
    </row>
    <row r="11">
      <c r="B11" s="39" t="s">
        <v>24</v>
      </c>
      <c r="C11" s="39" t="s">
        <v>25</v>
      </c>
      <c r="D11" s="39" t="s">
        <v>26</v>
      </c>
      <c r="E11" s="39" t="s">
        <v>27</v>
      </c>
      <c r="F11" s="39" t="s">
        <v>28</v>
      </c>
      <c r="G11" s="2" t="s">
        <v>9</v>
      </c>
      <c r="H11" s="40"/>
      <c r="I11" s="40"/>
      <c r="J11" s="40"/>
      <c r="K11" s="40"/>
      <c r="L11" s="41"/>
      <c r="M11" s="3"/>
    </row>
    <row r="12">
      <c r="B12" s="42" t="s">
        <v>29</v>
      </c>
      <c r="C12" s="42" t="s">
        <v>12</v>
      </c>
      <c r="D12" s="43">
        <v>128.0</v>
      </c>
      <c r="E12" s="42">
        <v>4.323059486E10</v>
      </c>
      <c r="F12" s="42">
        <v>416.0</v>
      </c>
      <c r="G12" s="44"/>
      <c r="H12" s="9"/>
      <c r="I12" s="9"/>
      <c r="J12" s="9"/>
      <c r="K12" s="9"/>
      <c r="L12" s="19"/>
      <c r="M12" s="3"/>
    </row>
    <row r="13">
      <c r="B13" s="42" t="s">
        <v>30</v>
      </c>
      <c r="C13" s="42">
        <v>128.0</v>
      </c>
      <c r="D13" s="45"/>
      <c r="E13" s="42">
        <v>4.3223195325E10</v>
      </c>
      <c r="F13" s="42">
        <v>351.0</v>
      </c>
      <c r="G13" s="44">
        <f>DIVIDE(F12,F13)</f>
        <v>1.185185185</v>
      </c>
      <c r="H13" s="9"/>
      <c r="I13" s="9"/>
      <c r="J13" s="9"/>
      <c r="K13" s="9"/>
      <c r="L13" s="19"/>
      <c r="M13" s="3"/>
    </row>
    <row r="14">
      <c r="B14" s="42"/>
      <c r="C14" s="42">
        <v>256.0</v>
      </c>
      <c r="D14" s="46"/>
      <c r="E14" s="42">
        <v>4.3221378493E10</v>
      </c>
      <c r="F14" s="37">
        <v>261.0</v>
      </c>
      <c r="G14" s="44" t="s">
        <v>31</v>
      </c>
      <c r="H14" s="9"/>
      <c r="I14" s="9"/>
      <c r="J14" s="9"/>
      <c r="K14" s="9"/>
      <c r="L14" s="19"/>
      <c r="M14" s="3"/>
    </row>
    <row r="15">
      <c r="B15" s="42" t="s">
        <v>29</v>
      </c>
      <c r="C15" s="42" t="s">
        <v>12</v>
      </c>
      <c r="D15" s="43">
        <v>256.0</v>
      </c>
      <c r="E15" s="37">
        <v>8.647478424E10</v>
      </c>
      <c r="F15" s="42">
        <v>708.0</v>
      </c>
      <c r="G15" s="44"/>
      <c r="H15" s="9"/>
      <c r="I15" s="9"/>
      <c r="J15" s="9"/>
      <c r="K15" s="9"/>
      <c r="L15" s="19"/>
      <c r="M15" s="3"/>
    </row>
    <row r="16">
      <c r="B16" s="42" t="s">
        <v>30</v>
      </c>
      <c r="C16" s="42">
        <v>128.0</v>
      </c>
      <c r="D16" s="45"/>
      <c r="E16" s="42">
        <v>8.6446170321E10</v>
      </c>
      <c r="F16" s="42">
        <v>551.0</v>
      </c>
      <c r="G16" s="44">
        <f>DIVIDE(F15,F16)</f>
        <v>1.284936479</v>
      </c>
      <c r="H16" s="9"/>
      <c r="I16" s="9"/>
      <c r="J16" s="9"/>
      <c r="K16" s="9"/>
      <c r="L16" s="19"/>
      <c r="M16" s="3"/>
    </row>
    <row r="17">
      <c r="B17" s="42"/>
      <c r="C17" s="42">
        <v>256.0</v>
      </c>
      <c r="D17" s="46"/>
      <c r="E17" s="37">
        <v>8.644918898666667E10</v>
      </c>
      <c r="F17" s="37">
        <v>362.0</v>
      </c>
      <c r="G17" s="44" t="s">
        <v>32</v>
      </c>
      <c r="H17" s="9"/>
      <c r="I17" s="9"/>
      <c r="J17" s="9"/>
      <c r="K17" s="9"/>
      <c r="L17" s="19"/>
      <c r="M17" s="3"/>
    </row>
    <row r="18">
      <c r="B18" s="42" t="s">
        <v>29</v>
      </c>
      <c r="C18" s="42" t="s">
        <v>12</v>
      </c>
      <c r="D18" s="43">
        <v>512.0</v>
      </c>
      <c r="E18" s="37">
        <v>1.7296470546133334E11</v>
      </c>
      <c r="F18" s="37">
        <v>1255.3333333333333</v>
      </c>
      <c r="G18" s="44"/>
      <c r="H18" s="9"/>
      <c r="I18" s="9"/>
      <c r="J18" s="9"/>
      <c r="K18" s="9"/>
      <c r="L18" s="19"/>
      <c r="M18" s="3"/>
    </row>
    <row r="19">
      <c r="B19" s="42" t="s">
        <v>30</v>
      </c>
      <c r="C19" s="42">
        <v>128.0</v>
      </c>
      <c r="D19" s="45"/>
      <c r="E19" s="42">
        <v>1.72888167558E11</v>
      </c>
      <c r="F19" s="42">
        <v>936.0</v>
      </c>
      <c r="G19" s="44">
        <f>DIVIDE(F19,F20)</f>
        <v>1.543705333</v>
      </c>
      <c r="H19" s="9"/>
      <c r="I19" s="9"/>
      <c r="J19" s="9"/>
      <c r="K19" s="9"/>
      <c r="L19" s="19"/>
      <c r="M19" s="3"/>
    </row>
    <row r="20">
      <c r="B20" s="42"/>
      <c r="C20" s="42">
        <v>256.0</v>
      </c>
      <c r="D20" s="46"/>
      <c r="E20" s="37">
        <v>1.7290830697933334E11</v>
      </c>
      <c r="F20" s="37">
        <v>606.3333333333334</v>
      </c>
      <c r="G20" s="44" t="s">
        <v>33</v>
      </c>
      <c r="H20" s="9"/>
      <c r="I20" s="9"/>
      <c r="J20" s="9"/>
      <c r="K20" s="9"/>
      <c r="L20" s="19"/>
      <c r="M20" s="3"/>
    </row>
    <row r="21">
      <c r="B21" s="42" t="s">
        <v>29</v>
      </c>
      <c r="C21" s="42" t="s">
        <v>12</v>
      </c>
      <c r="D21" s="43">
        <v>1024.0</v>
      </c>
      <c r="E21" s="37">
        <v>3.459272730393333E11</v>
      </c>
      <c r="F21" s="37">
        <v>2406.0</v>
      </c>
      <c r="G21" s="44"/>
      <c r="H21" s="9"/>
      <c r="I21" s="9"/>
      <c r="J21" s="9"/>
      <c r="K21" s="9"/>
      <c r="L21" s="19"/>
      <c r="M21" s="3"/>
    </row>
    <row r="22">
      <c r="B22" s="42" t="s">
        <v>30</v>
      </c>
      <c r="C22" s="42">
        <v>128.0</v>
      </c>
      <c r="D22" s="45"/>
      <c r="E22" s="42">
        <v>3.4583328206E11</v>
      </c>
      <c r="F22" s="42">
        <v>1760.0</v>
      </c>
      <c r="G22" s="44">
        <f>DIVIDE(F21,F22)</f>
        <v>1.367045455</v>
      </c>
      <c r="H22" s="9"/>
      <c r="I22" s="9"/>
      <c r="J22" s="9"/>
      <c r="K22" s="9"/>
      <c r="L22" s="19"/>
      <c r="M22" s="3"/>
    </row>
    <row r="23">
      <c r="B23" s="42"/>
      <c r="C23" s="42">
        <v>256.0</v>
      </c>
      <c r="D23" s="46"/>
      <c r="E23" s="37">
        <v>1.7288429720966666E11</v>
      </c>
      <c r="F23" s="37">
        <v>589.6666666666666</v>
      </c>
      <c r="G23" s="44" t="s">
        <v>34</v>
      </c>
      <c r="H23" s="9"/>
      <c r="I23" s="9"/>
      <c r="J23" s="9"/>
      <c r="K23" s="9"/>
      <c r="L23" s="19"/>
      <c r="M23" s="3"/>
    </row>
    <row r="24">
      <c r="B24" s="47" t="s">
        <v>29</v>
      </c>
      <c r="C24" s="47" t="s">
        <v>12</v>
      </c>
      <c r="D24" s="48">
        <v>1250.0</v>
      </c>
      <c r="E24" s="47">
        <v>4.221664302726667E11</v>
      </c>
      <c r="F24" s="47">
        <v>2952.6666666666665</v>
      </c>
      <c r="G24" s="49"/>
      <c r="H24" s="9"/>
      <c r="I24" s="9"/>
      <c r="J24" s="9"/>
      <c r="K24" s="9"/>
      <c r="L24" s="19"/>
      <c r="M24" s="3"/>
    </row>
    <row r="25">
      <c r="B25" s="47" t="s">
        <v>30</v>
      </c>
      <c r="C25" s="47">
        <v>128.0</v>
      </c>
      <c r="D25" s="45"/>
      <c r="E25" s="50">
        <v>4.22187846136E11</v>
      </c>
      <c r="F25" s="50">
        <v>2185.0</v>
      </c>
      <c r="G25" s="51" t="s">
        <v>35</v>
      </c>
      <c r="H25" s="9"/>
      <c r="I25" s="9"/>
      <c r="J25" s="9"/>
      <c r="K25" s="9"/>
      <c r="L25" s="19"/>
      <c r="M25" s="3"/>
    </row>
    <row r="26">
      <c r="B26" s="52"/>
      <c r="C26" s="47">
        <v>256.0</v>
      </c>
      <c r="D26" s="46"/>
      <c r="E26" s="47">
        <v>4.221536513816667E11</v>
      </c>
      <c r="F26" s="47">
        <v>1280.3333333333333</v>
      </c>
      <c r="G26" s="51" t="s">
        <v>36</v>
      </c>
      <c r="H26" s="9"/>
      <c r="I26" s="9"/>
      <c r="J26" s="9"/>
      <c r="K26" s="9"/>
      <c r="L26" s="19"/>
      <c r="M26" s="3"/>
    </row>
    <row r="27">
      <c r="B27" s="42" t="s">
        <v>29</v>
      </c>
      <c r="C27" s="42" t="s">
        <v>12</v>
      </c>
      <c r="D27" s="43">
        <v>1500.0</v>
      </c>
      <c r="E27" s="37">
        <v>5.066225899153333E11</v>
      </c>
      <c r="F27" s="37">
        <v>3511.0</v>
      </c>
      <c r="G27" s="44"/>
      <c r="H27" s="9"/>
      <c r="I27" s="9"/>
      <c r="J27" s="9"/>
      <c r="K27" s="9"/>
      <c r="L27" s="19"/>
      <c r="M27" s="3"/>
    </row>
    <row r="28">
      <c r="B28" s="42" t="s">
        <v>30</v>
      </c>
      <c r="C28" s="42">
        <v>128.0</v>
      </c>
      <c r="D28" s="45"/>
      <c r="E28" s="42">
        <v>5.06652831662E11</v>
      </c>
      <c r="F28" s="42">
        <v>2588.0</v>
      </c>
      <c r="G28" s="44" t="s">
        <v>37</v>
      </c>
      <c r="H28" s="9"/>
      <c r="I28" s="9"/>
      <c r="J28" s="9"/>
      <c r="K28" s="9"/>
      <c r="L28" s="19"/>
      <c r="M28" s="3"/>
    </row>
    <row r="29">
      <c r="B29" s="42"/>
      <c r="C29" s="42">
        <v>256.0</v>
      </c>
      <c r="D29" s="46"/>
      <c r="E29" s="37">
        <v>5.066119623896667E11</v>
      </c>
      <c r="F29" s="37">
        <v>1498.6666666666667</v>
      </c>
      <c r="G29" s="44" t="s">
        <v>38</v>
      </c>
      <c r="H29" s="9"/>
      <c r="I29" s="9"/>
      <c r="J29" s="9"/>
      <c r="K29" s="9"/>
      <c r="L29" s="19"/>
      <c r="M29" s="3"/>
    </row>
    <row r="30">
      <c r="B30" s="42" t="s">
        <v>29</v>
      </c>
      <c r="C30" s="42" t="s">
        <v>12</v>
      </c>
      <c r="D30" s="43">
        <v>2048.0</v>
      </c>
      <c r="E30" s="37">
        <v>7.26988564251E11</v>
      </c>
      <c r="F30" s="37">
        <v>733686.0</v>
      </c>
      <c r="G30" s="44"/>
    </row>
    <row r="31">
      <c r="B31" s="42" t="s">
        <v>30</v>
      </c>
      <c r="C31" s="42">
        <v>128.0</v>
      </c>
      <c r="D31" s="45"/>
      <c r="E31" s="42">
        <v>7.2758131249E11</v>
      </c>
      <c r="F31" s="42">
        <v>519066.0</v>
      </c>
      <c r="G31" s="44" t="s">
        <v>39</v>
      </c>
    </row>
    <row r="32">
      <c r="B32" s="42"/>
      <c r="C32" s="42">
        <v>256.0</v>
      </c>
      <c r="D32" s="46"/>
      <c r="E32" s="37">
        <v>7.275257954766666E11</v>
      </c>
      <c r="F32" s="37">
        <v>569327.3333333334</v>
      </c>
      <c r="G32" s="44" t="s">
        <v>40</v>
      </c>
    </row>
    <row r="33">
      <c r="B33" s="9"/>
      <c r="C33" s="9"/>
      <c r="E33" s="9"/>
      <c r="F33" s="3"/>
      <c r="G33" s="53"/>
    </row>
    <row r="34">
      <c r="D34" s="54">
        <v>8192.0</v>
      </c>
      <c r="E34" s="3"/>
      <c r="F34" s="3"/>
      <c r="G34" s="23"/>
    </row>
    <row r="35">
      <c r="E35" s="3"/>
      <c r="F35" s="3"/>
      <c r="G35" s="23"/>
    </row>
    <row r="36">
      <c r="E36" s="3"/>
      <c r="F36" s="3"/>
      <c r="G36" s="23"/>
    </row>
    <row r="37">
      <c r="E37" s="3"/>
      <c r="F37" s="3"/>
      <c r="G37" s="23"/>
    </row>
    <row r="38">
      <c r="E38" s="3"/>
      <c r="F38" s="3"/>
      <c r="G38" s="23"/>
    </row>
    <row r="39">
      <c r="E39" s="3"/>
      <c r="F39" s="3"/>
      <c r="G39" s="23"/>
    </row>
    <row r="40">
      <c r="E40" s="3"/>
      <c r="F40" s="3"/>
      <c r="G40" s="23"/>
    </row>
    <row r="41">
      <c r="E41" s="3"/>
      <c r="F41" s="3"/>
      <c r="G41" s="23"/>
    </row>
    <row r="42">
      <c r="E42" s="3"/>
      <c r="F42" s="3"/>
      <c r="G42" s="23"/>
    </row>
    <row r="43">
      <c r="E43" s="3"/>
      <c r="F43" s="3"/>
      <c r="G43" s="23"/>
    </row>
    <row r="44">
      <c r="E44" s="3"/>
      <c r="F44" s="3"/>
      <c r="G44" s="23"/>
    </row>
    <row r="45">
      <c r="E45" s="3"/>
      <c r="F45" s="3"/>
      <c r="G45" s="23"/>
    </row>
    <row r="46">
      <c r="E46" s="3"/>
      <c r="F46" s="3"/>
      <c r="G46" s="23"/>
    </row>
    <row r="47">
      <c r="E47" s="3"/>
      <c r="F47" s="3"/>
      <c r="G47" s="23"/>
    </row>
    <row r="48">
      <c r="E48" s="3"/>
      <c r="F48" s="3"/>
      <c r="G48" s="23"/>
    </row>
    <row r="49">
      <c r="E49" s="3"/>
      <c r="F49" s="3"/>
      <c r="G49" s="23"/>
    </row>
    <row r="50">
      <c r="E50" s="3"/>
      <c r="F50" s="3"/>
      <c r="G50" s="23"/>
    </row>
    <row r="51">
      <c r="E51" s="3"/>
      <c r="F51" s="3"/>
      <c r="G51" s="23"/>
    </row>
    <row r="52">
      <c r="E52" s="3"/>
      <c r="F52" s="3"/>
      <c r="G52" s="23"/>
    </row>
    <row r="53">
      <c r="E53" s="3"/>
      <c r="F53" s="3"/>
      <c r="G53" s="23"/>
    </row>
    <row r="54">
      <c r="E54" s="3"/>
      <c r="F54" s="3"/>
      <c r="G54" s="23"/>
    </row>
    <row r="55">
      <c r="E55" s="3"/>
      <c r="F55" s="3"/>
      <c r="G55" s="23"/>
    </row>
    <row r="56">
      <c r="E56" s="3"/>
      <c r="F56" s="3"/>
      <c r="G56" s="23"/>
    </row>
    <row r="57">
      <c r="E57" s="3"/>
      <c r="F57" s="3"/>
      <c r="G57" s="23"/>
    </row>
    <row r="58">
      <c r="E58" s="3"/>
      <c r="F58" s="3"/>
      <c r="G58" s="23"/>
    </row>
    <row r="59">
      <c r="E59" s="3"/>
      <c r="F59" s="3"/>
      <c r="G59" s="23"/>
    </row>
    <row r="60">
      <c r="E60" s="3"/>
      <c r="F60" s="3"/>
      <c r="G60" s="23"/>
    </row>
    <row r="61">
      <c r="E61" s="3"/>
      <c r="F61" s="3"/>
      <c r="G61" s="23"/>
    </row>
    <row r="62">
      <c r="E62" s="3"/>
      <c r="F62" s="3"/>
      <c r="G62" s="23"/>
    </row>
    <row r="63">
      <c r="E63" s="3"/>
      <c r="F63" s="3"/>
      <c r="G63" s="23"/>
    </row>
    <row r="64">
      <c r="E64" s="3"/>
      <c r="F64" s="3"/>
      <c r="G64" s="23"/>
    </row>
    <row r="65">
      <c r="E65" s="3"/>
      <c r="F65" s="3"/>
      <c r="G65" s="23"/>
    </row>
    <row r="66">
      <c r="E66" s="3"/>
      <c r="F66" s="3"/>
      <c r="G66" s="23"/>
    </row>
    <row r="67">
      <c r="E67" s="3"/>
      <c r="F67" s="3"/>
      <c r="G67" s="23"/>
    </row>
    <row r="68">
      <c r="E68" s="3"/>
      <c r="F68" s="3"/>
      <c r="G68" s="23"/>
    </row>
    <row r="69">
      <c r="E69" s="3"/>
      <c r="F69" s="3"/>
      <c r="G69" s="23"/>
    </row>
    <row r="70">
      <c r="E70" s="3"/>
      <c r="F70" s="3"/>
      <c r="G70" s="23"/>
    </row>
    <row r="71">
      <c r="E71" s="3"/>
      <c r="F71" s="3"/>
      <c r="G71" s="23"/>
    </row>
    <row r="72">
      <c r="E72" s="3"/>
      <c r="F72" s="3"/>
      <c r="G72" s="23"/>
    </row>
    <row r="73">
      <c r="E73" s="3"/>
      <c r="F73" s="3"/>
      <c r="G73" s="23"/>
    </row>
    <row r="74">
      <c r="E74" s="3"/>
      <c r="F74" s="3"/>
      <c r="G74" s="23"/>
    </row>
    <row r="75">
      <c r="E75" s="3"/>
      <c r="F75" s="3"/>
      <c r="G75" s="23"/>
    </row>
    <row r="76">
      <c r="E76" s="3"/>
      <c r="F76" s="3"/>
      <c r="G76" s="23"/>
    </row>
    <row r="77">
      <c r="E77" s="3"/>
      <c r="F77" s="3"/>
      <c r="G77" s="23"/>
    </row>
    <row r="78">
      <c r="E78" s="3"/>
      <c r="F78" s="3"/>
      <c r="G78" s="23"/>
    </row>
    <row r="79">
      <c r="E79" s="3"/>
      <c r="F79" s="3"/>
      <c r="G79" s="23"/>
    </row>
    <row r="80">
      <c r="E80" s="3"/>
      <c r="F80" s="3"/>
      <c r="G80" s="23"/>
    </row>
    <row r="81">
      <c r="E81" s="3"/>
      <c r="F81" s="3"/>
      <c r="G81" s="23"/>
    </row>
    <row r="82">
      <c r="E82" s="3"/>
      <c r="F82" s="3"/>
      <c r="G82" s="23"/>
    </row>
    <row r="83">
      <c r="E83" s="3"/>
      <c r="F83" s="3"/>
      <c r="G83" s="23"/>
    </row>
    <row r="84">
      <c r="E84" s="3"/>
      <c r="F84" s="3"/>
      <c r="G84" s="23"/>
    </row>
    <row r="85">
      <c r="E85" s="3"/>
      <c r="F85" s="3"/>
      <c r="G85" s="23"/>
    </row>
    <row r="86">
      <c r="E86" s="3"/>
      <c r="F86" s="3"/>
      <c r="G86" s="23"/>
    </row>
    <row r="87">
      <c r="E87" s="3"/>
      <c r="F87" s="3"/>
      <c r="G87" s="23"/>
    </row>
    <row r="88">
      <c r="E88" s="3"/>
      <c r="F88" s="3"/>
      <c r="G88" s="23"/>
    </row>
    <row r="89">
      <c r="E89" s="3"/>
      <c r="F89" s="3"/>
      <c r="G89" s="23"/>
    </row>
    <row r="90">
      <c r="E90" s="3"/>
      <c r="F90" s="3"/>
      <c r="G90" s="23"/>
    </row>
    <row r="91">
      <c r="E91" s="3"/>
      <c r="F91" s="3"/>
      <c r="G91" s="23"/>
    </row>
    <row r="92">
      <c r="E92" s="3"/>
      <c r="F92" s="3"/>
      <c r="G92" s="23"/>
    </row>
    <row r="93">
      <c r="E93" s="3"/>
      <c r="F93" s="3"/>
      <c r="G93" s="23"/>
    </row>
    <row r="94">
      <c r="E94" s="3"/>
      <c r="F94" s="3"/>
      <c r="G94" s="23"/>
    </row>
    <row r="95">
      <c r="E95" s="3"/>
      <c r="F95" s="3"/>
      <c r="G95" s="23"/>
    </row>
    <row r="96">
      <c r="E96" s="3"/>
      <c r="F96" s="3"/>
      <c r="G96" s="23"/>
    </row>
    <row r="97">
      <c r="E97" s="3"/>
      <c r="F97" s="3"/>
      <c r="G97" s="23"/>
    </row>
    <row r="98">
      <c r="E98" s="3"/>
      <c r="F98" s="3"/>
      <c r="G98" s="23"/>
    </row>
    <row r="99">
      <c r="E99" s="3"/>
      <c r="F99" s="3"/>
      <c r="G99" s="23"/>
    </row>
    <row r="100">
      <c r="E100" s="3"/>
      <c r="F100" s="3"/>
      <c r="G100" s="23"/>
    </row>
    <row r="101">
      <c r="E101" s="3"/>
      <c r="F101" s="3"/>
      <c r="G101" s="23"/>
    </row>
    <row r="102">
      <c r="E102" s="3"/>
      <c r="F102" s="3"/>
      <c r="G102" s="23"/>
    </row>
    <row r="103">
      <c r="E103" s="3"/>
      <c r="F103" s="3"/>
      <c r="G103" s="23"/>
    </row>
    <row r="104">
      <c r="E104" s="3"/>
      <c r="F104" s="3"/>
      <c r="G104" s="23"/>
    </row>
    <row r="105">
      <c r="E105" s="3"/>
      <c r="F105" s="3"/>
      <c r="G105" s="23"/>
    </row>
    <row r="106">
      <c r="E106" s="3"/>
      <c r="F106" s="3"/>
      <c r="G106" s="23"/>
    </row>
    <row r="107">
      <c r="E107" s="3"/>
      <c r="F107" s="3"/>
      <c r="G107" s="23"/>
    </row>
    <row r="108">
      <c r="E108" s="3"/>
      <c r="F108" s="3"/>
      <c r="G108" s="23"/>
    </row>
    <row r="109">
      <c r="E109" s="3"/>
      <c r="F109" s="3"/>
      <c r="G109" s="23"/>
    </row>
    <row r="110">
      <c r="E110" s="3"/>
      <c r="F110" s="3"/>
      <c r="G110" s="23"/>
    </row>
    <row r="111">
      <c r="E111" s="3"/>
      <c r="F111" s="3"/>
      <c r="G111" s="23"/>
    </row>
    <row r="112">
      <c r="E112" s="3"/>
      <c r="F112" s="3"/>
      <c r="G112" s="23"/>
    </row>
    <row r="113">
      <c r="E113" s="3"/>
      <c r="F113" s="3"/>
      <c r="G113" s="23"/>
    </row>
    <row r="114">
      <c r="E114" s="3"/>
      <c r="F114" s="3"/>
      <c r="G114" s="23"/>
    </row>
    <row r="115">
      <c r="E115" s="3"/>
      <c r="F115" s="3"/>
      <c r="G115" s="23"/>
    </row>
    <row r="116">
      <c r="E116" s="3"/>
      <c r="F116" s="3"/>
      <c r="G116" s="23"/>
    </row>
    <row r="117">
      <c r="E117" s="3"/>
      <c r="F117" s="3"/>
      <c r="G117" s="23"/>
    </row>
    <row r="118">
      <c r="E118" s="3"/>
      <c r="F118" s="3"/>
      <c r="G118" s="23"/>
    </row>
    <row r="119">
      <c r="E119" s="3"/>
      <c r="F119" s="3"/>
      <c r="G119" s="23"/>
    </row>
    <row r="120">
      <c r="E120" s="3"/>
      <c r="F120" s="3"/>
      <c r="G120" s="23"/>
    </row>
    <row r="121">
      <c r="E121" s="3"/>
      <c r="F121" s="3"/>
      <c r="G121" s="23"/>
    </row>
    <row r="122">
      <c r="E122" s="3"/>
      <c r="F122" s="3"/>
      <c r="G122" s="23"/>
    </row>
    <row r="123">
      <c r="E123" s="3"/>
      <c r="F123" s="3"/>
      <c r="G123" s="23"/>
    </row>
    <row r="124">
      <c r="E124" s="3"/>
      <c r="F124" s="3"/>
      <c r="G124" s="23"/>
    </row>
    <row r="125">
      <c r="E125" s="3"/>
      <c r="F125" s="3"/>
      <c r="G125" s="23"/>
    </row>
    <row r="126">
      <c r="E126" s="3"/>
      <c r="F126" s="3"/>
      <c r="G126" s="23"/>
    </row>
    <row r="127">
      <c r="E127" s="3"/>
      <c r="F127" s="3"/>
      <c r="G127" s="23"/>
    </row>
    <row r="128">
      <c r="E128" s="3"/>
      <c r="F128" s="3"/>
      <c r="G128" s="23"/>
    </row>
    <row r="129">
      <c r="E129" s="3"/>
      <c r="F129" s="3"/>
      <c r="G129" s="23"/>
    </row>
    <row r="130">
      <c r="E130" s="3"/>
      <c r="F130" s="3"/>
      <c r="G130" s="23"/>
    </row>
    <row r="131">
      <c r="E131" s="3"/>
      <c r="F131" s="3"/>
      <c r="G131" s="23"/>
    </row>
    <row r="132">
      <c r="E132" s="3"/>
      <c r="F132" s="3"/>
      <c r="G132" s="23"/>
    </row>
    <row r="133">
      <c r="E133" s="3"/>
      <c r="F133" s="3"/>
      <c r="G133" s="23"/>
    </row>
    <row r="134">
      <c r="E134" s="3"/>
      <c r="F134" s="3"/>
      <c r="G134" s="23"/>
    </row>
    <row r="135">
      <c r="E135" s="3"/>
      <c r="F135" s="3"/>
      <c r="G135" s="23"/>
    </row>
    <row r="136">
      <c r="E136" s="3"/>
      <c r="F136" s="3"/>
      <c r="G136" s="23"/>
    </row>
    <row r="137">
      <c r="E137" s="3"/>
      <c r="F137" s="3"/>
      <c r="G137" s="23"/>
    </row>
    <row r="138">
      <c r="E138" s="3"/>
      <c r="F138" s="3"/>
      <c r="G138" s="23"/>
    </row>
    <row r="139">
      <c r="E139" s="3"/>
      <c r="F139" s="3"/>
      <c r="G139" s="23"/>
    </row>
    <row r="140">
      <c r="E140" s="3"/>
      <c r="F140" s="3"/>
      <c r="G140" s="23"/>
    </row>
    <row r="141">
      <c r="E141" s="3"/>
      <c r="F141" s="3"/>
      <c r="G141" s="23"/>
    </row>
    <row r="142">
      <c r="E142" s="3"/>
      <c r="F142" s="3"/>
      <c r="G142" s="23"/>
    </row>
    <row r="143">
      <c r="E143" s="3"/>
      <c r="F143" s="3"/>
      <c r="G143" s="23"/>
    </row>
    <row r="144">
      <c r="E144" s="3"/>
      <c r="F144" s="3"/>
      <c r="G144" s="23"/>
    </row>
    <row r="145">
      <c r="E145" s="3"/>
      <c r="F145" s="3"/>
      <c r="G145" s="23"/>
    </row>
    <row r="146">
      <c r="E146" s="3"/>
      <c r="F146" s="3"/>
      <c r="G146" s="23"/>
    </row>
    <row r="147">
      <c r="E147" s="3"/>
      <c r="F147" s="3"/>
      <c r="G147" s="23"/>
    </row>
    <row r="148">
      <c r="E148" s="3"/>
      <c r="F148" s="3"/>
      <c r="G148" s="23"/>
    </row>
    <row r="149">
      <c r="E149" s="3"/>
      <c r="F149" s="3"/>
      <c r="G149" s="23"/>
    </row>
    <row r="150">
      <c r="E150" s="3"/>
      <c r="F150" s="3"/>
      <c r="G150" s="23"/>
    </row>
    <row r="151">
      <c r="E151" s="3"/>
      <c r="F151" s="3"/>
      <c r="G151" s="23"/>
    </row>
    <row r="152">
      <c r="E152" s="3"/>
      <c r="F152" s="3"/>
      <c r="G152" s="23"/>
    </row>
    <row r="153">
      <c r="E153" s="3"/>
      <c r="F153" s="3"/>
      <c r="G153" s="23"/>
    </row>
    <row r="154">
      <c r="E154" s="3"/>
      <c r="F154" s="3"/>
      <c r="G154" s="23"/>
    </row>
    <row r="155">
      <c r="E155" s="3"/>
      <c r="F155" s="3"/>
      <c r="G155" s="23"/>
    </row>
    <row r="156">
      <c r="E156" s="3"/>
      <c r="F156" s="3"/>
      <c r="G156" s="23"/>
    </row>
    <row r="157">
      <c r="E157" s="3"/>
      <c r="F157" s="3"/>
      <c r="G157" s="23"/>
    </row>
    <row r="158">
      <c r="E158" s="3"/>
      <c r="F158" s="3"/>
      <c r="G158" s="23"/>
    </row>
    <row r="159">
      <c r="E159" s="3"/>
      <c r="F159" s="3"/>
      <c r="G159" s="23"/>
    </row>
    <row r="160">
      <c r="E160" s="3"/>
      <c r="F160" s="3"/>
      <c r="G160" s="23"/>
    </row>
    <row r="161">
      <c r="E161" s="3"/>
      <c r="F161" s="3"/>
      <c r="G161" s="23"/>
    </row>
    <row r="162">
      <c r="E162" s="3"/>
      <c r="F162" s="3"/>
      <c r="G162" s="23"/>
    </row>
    <row r="163">
      <c r="E163" s="3"/>
      <c r="F163" s="3"/>
      <c r="G163" s="23"/>
    </row>
    <row r="164">
      <c r="E164" s="3"/>
      <c r="F164" s="3"/>
      <c r="G164" s="23"/>
    </row>
    <row r="165">
      <c r="E165" s="3"/>
      <c r="F165" s="3"/>
      <c r="G165" s="23"/>
    </row>
    <row r="166">
      <c r="E166" s="3"/>
      <c r="F166" s="3"/>
      <c r="G166" s="23"/>
    </row>
    <row r="167">
      <c r="E167" s="3"/>
      <c r="F167" s="3"/>
      <c r="G167" s="23"/>
    </row>
    <row r="168">
      <c r="E168" s="3"/>
      <c r="F168" s="3"/>
      <c r="G168" s="23"/>
    </row>
    <row r="169">
      <c r="E169" s="3"/>
      <c r="F169" s="3"/>
      <c r="G169" s="23"/>
    </row>
    <row r="170">
      <c r="E170" s="3"/>
      <c r="F170" s="3"/>
      <c r="G170" s="23"/>
    </row>
    <row r="171">
      <c r="E171" s="3"/>
      <c r="F171" s="3"/>
      <c r="G171" s="23"/>
    </row>
    <row r="172">
      <c r="E172" s="3"/>
      <c r="F172" s="3"/>
      <c r="G172" s="23"/>
    </row>
    <row r="173">
      <c r="E173" s="3"/>
      <c r="F173" s="3"/>
      <c r="G173" s="23"/>
    </row>
    <row r="174">
      <c r="E174" s="3"/>
      <c r="F174" s="3"/>
      <c r="G174" s="23"/>
    </row>
    <row r="175">
      <c r="E175" s="3"/>
      <c r="F175" s="3"/>
      <c r="G175" s="23"/>
    </row>
    <row r="176">
      <c r="E176" s="3"/>
      <c r="F176" s="3"/>
      <c r="G176" s="23"/>
    </row>
    <row r="177">
      <c r="E177" s="3"/>
      <c r="F177" s="3"/>
      <c r="G177" s="23"/>
    </row>
    <row r="178">
      <c r="E178" s="3"/>
      <c r="F178" s="3"/>
      <c r="G178" s="23"/>
    </row>
    <row r="179">
      <c r="E179" s="3"/>
      <c r="F179" s="3"/>
      <c r="G179" s="23"/>
    </row>
    <row r="180">
      <c r="E180" s="3"/>
      <c r="F180" s="3"/>
      <c r="G180" s="23"/>
    </row>
    <row r="181">
      <c r="E181" s="3"/>
      <c r="F181" s="3"/>
      <c r="G181" s="23"/>
    </row>
    <row r="182">
      <c r="E182" s="3"/>
      <c r="F182" s="3"/>
      <c r="G182" s="23"/>
    </row>
    <row r="183">
      <c r="E183" s="3"/>
      <c r="F183" s="3"/>
      <c r="G183" s="23"/>
    </row>
    <row r="184">
      <c r="E184" s="3"/>
      <c r="F184" s="3"/>
      <c r="G184" s="23"/>
    </row>
    <row r="185">
      <c r="E185" s="3"/>
      <c r="F185" s="3"/>
      <c r="G185" s="23"/>
    </row>
    <row r="186">
      <c r="E186" s="3"/>
      <c r="F186" s="3"/>
      <c r="G186" s="23"/>
    </row>
    <row r="187">
      <c r="E187" s="3"/>
      <c r="F187" s="3"/>
      <c r="G187" s="23"/>
    </row>
    <row r="188">
      <c r="E188" s="3"/>
      <c r="F188" s="3"/>
      <c r="G188" s="23"/>
    </row>
    <row r="189">
      <c r="E189" s="3"/>
      <c r="F189" s="3"/>
      <c r="G189" s="23"/>
    </row>
    <row r="190">
      <c r="E190" s="3"/>
      <c r="F190" s="3"/>
      <c r="G190" s="23"/>
    </row>
    <row r="191">
      <c r="E191" s="3"/>
      <c r="F191" s="3"/>
      <c r="G191" s="23"/>
    </row>
    <row r="192">
      <c r="E192" s="3"/>
      <c r="F192" s="3"/>
      <c r="G192" s="23"/>
    </row>
    <row r="193">
      <c r="E193" s="3"/>
      <c r="F193" s="3"/>
      <c r="G193" s="23"/>
    </row>
    <row r="194">
      <c r="E194" s="3"/>
      <c r="F194" s="3"/>
      <c r="G194" s="23"/>
    </row>
    <row r="195">
      <c r="E195" s="3"/>
      <c r="F195" s="3"/>
      <c r="G195" s="23"/>
    </row>
    <row r="196">
      <c r="E196" s="3"/>
      <c r="F196" s="3"/>
      <c r="G196" s="23"/>
    </row>
    <row r="197">
      <c r="E197" s="3"/>
      <c r="F197" s="3"/>
      <c r="G197" s="23"/>
    </row>
    <row r="198">
      <c r="E198" s="3"/>
      <c r="F198" s="3"/>
      <c r="G198" s="23"/>
    </row>
    <row r="199">
      <c r="E199" s="3"/>
      <c r="F199" s="3"/>
      <c r="G199" s="23"/>
    </row>
    <row r="200">
      <c r="E200" s="3"/>
      <c r="F200" s="3"/>
      <c r="G200" s="23"/>
    </row>
    <row r="201">
      <c r="E201" s="3"/>
      <c r="F201" s="3"/>
      <c r="G201" s="23"/>
    </row>
    <row r="202">
      <c r="E202" s="3"/>
      <c r="F202" s="3"/>
      <c r="G202" s="23"/>
    </row>
    <row r="203">
      <c r="E203" s="3"/>
      <c r="F203" s="3"/>
      <c r="G203" s="23"/>
    </row>
    <row r="204">
      <c r="E204" s="3"/>
      <c r="F204" s="3"/>
      <c r="G204" s="23"/>
    </row>
    <row r="205">
      <c r="E205" s="3"/>
      <c r="F205" s="3"/>
      <c r="G205" s="23"/>
    </row>
    <row r="206">
      <c r="E206" s="3"/>
      <c r="F206" s="3"/>
      <c r="G206" s="23"/>
    </row>
    <row r="207">
      <c r="E207" s="3"/>
      <c r="F207" s="3"/>
      <c r="G207" s="23"/>
    </row>
    <row r="208">
      <c r="E208" s="3"/>
      <c r="F208" s="3"/>
      <c r="G208" s="23"/>
    </row>
    <row r="209">
      <c r="E209" s="3"/>
      <c r="F209" s="3"/>
      <c r="G209" s="23"/>
    </row>
    <row r="210">
      <c r="E210" s="3"/>
      <c r="F210" s="3"/>
      <c r="G210" s="23"/>
    </row>
    <row r="211">
      <c r="E211" s="3"/>
      <c r="F211" s="3"/>
      <c r="G211" s="23"/>
    </row>
    <row r="212">
      <c r="E212" s="3"/>
      <c r="F212" s="3"/>
      <c r="G212" s="23"/>
    </row>
    <row r="213">
      <c r="E213" s="3"/>
      <c r="F213" s="3"/>
      <c r="G213" s="23"/>
    </row>
    <row r="214">
      <c r="E214" s="3"/>
      <c r="F214" s="3"/>
      <c r="G214" s="23"/>
    </row>
    <row r="215">
      <c r="E215" s="3"/>
      <c r="F215" s="3"/>
      <c r="G215" s="23"/>
    </row>
    <row r="216">
      <c r="E216" s="3"/>
      <c r="F216" s="3"/>
      <c r="G216" s="23"/>
    </row>
    <row r="217">
      <c r="E217" s="3"/>
      <c r="F217" s="3"/>
      <c r="G217" s="23"/>
    </row>
    <row r="218">
      <c r="E218" s="3"/>
      <c r="F218" s="3"/>
      <c r="G218" s="23"/>
    </row>
    <row r="219">
      <c r="E219" s="3"/>
      <c r="F219" s="3"/>
      <c r="G219" s="23"/>
    </row>
    <row r="220">
      <c r="E220" s="3"/>
      <c r="F220" s="3"/>
      <c r="G220" s="23"/>
    </row>
    <row r="221">
      <c r="E221" s="3"/>
      <c r="F221" s="3"/>
      <c r="G221" s="23"/>
    </row>
    <row r="222">
      <c r="E222" s="3"/>
      <c r="F222" s="3"/>
      <c r="G222" s="23"/>
    </row>
    <row r="223">
      <c r="E223" s="3"/>
      <c r="F223" s="3"/>
      <c r="G223" s="23"/>
    </row>
    <row r="224">
      <c r="E224" s="3"/>
      <c r="F224" s="3"/>
      <c r="G224" s="23"/>
    </row>
    <row r="225">
      <c r="E225" s="3"/>
      <c r="F225" s="3"/>
      <c r="G225" s="23"/>
    </row>
    <row r="226">
      <c r="E226" s="3"/>
      <c r="F226" s="3"/>
      <c r="G226" s="23"/>
    </row>
    <row r="227">
      <c r="E227" s="3"/>
      <c r="F227" s="3"/>
      <c r="G227" s="23"/>
    </row>
    <row r="228">
      <c r="E228" s="3"/>
      <c r="F228" s="3"/>
      <c r="G228" s="23"/>
    </row>
    <row r="229">
      <c r="E229" s="3"/>
      <c r="F229" s="3"/>
      <c r="G229" s="23"/>
    </row>
    <row r="230">
      <c r="E230" s="3"/>
      <c r="F230" s="3"/>
      <c r="G230" s="23"/>
    </row>
    <row r="231">
      <c r="E231" s="3"/>
      <c r="F231" s="3"/>
      <c r="G231" s="23"/>
    </row>
    <row r="232">
      <c r="E232" s="3"/>
      <c r="F232" s="3"/>
      <c r="G232" s="23"/>
    </row>
    <row r="233">
      <c r="E233" s="3"/>
      <c r="F233" s="3"/>
      <c r="G233" s="23"/>
    </row>
    <row r="234">
      <c r="E234" s="3"/>
      <c r="F234" s="3"/>
      <c r="G234" s="23"/>
    </row>
    <row r="235">
      <c r="E235" s="3"/>
      <c r="F235" s="3"/>
      <c r="G235" s="23"/>
    </row>
    <row r="236">
      <c r="E236" s="3"/>
      <c r="F236" s="3"/>
      <c r="G236" s="23"/>
    </row>
    <row r="237">
      <c r="E237" s="3"/>
      <c r="F237" s="3"/>
      <c r="G237" s="23"/>
    </row>
    <row r="238">
      <c r="E238" s="3"/>
      <c r="F238" s="3"/>
      <c r="G238" s="23"/>
    </row>
    <row r="239">
      <c r="E239" s="3"/>
      <c r="F239" s="3"/>
      <c r="G239" s="23"/>
    </row>
    <row r="240">
      <c r="E240" s="3"/>
      <c r="F240" s="3"/>
      <c r="G240" s="23"/>
    </row>
    <row r="241">
      <c r="E241" s="3"/>
      <c r="F241" s="3"/>
      <c r="G241" s="23"/>
    </row>
    <row r="242">
      <c r="E242" s="3"/>
      <c r="F242" s="3"/>
      <c r="G242" s="23"/>
    </row>
    <row r="243">
      <c r="E243" s="3"/>
      <c r="F243" s="3"/>
      <c r="G243" s="23"/>
    </row>
    <row r="244">
      <c r="E244" s="3"/>
      <c r="F244" s="3"/>
      <c r="G244" s="23"/>
    </row>
    <row r="245">
      <c r="E245" s="3"/>
      <c r="F245" s="3"/>
      <c r="G245" s="23"/>
    </row>
    <row r="246">
      <c r="E246" s="3"/>
      <c r="F246" s="3"/>
      <c r="G246" s="23"/>
    </row>
    <row r="247">
      <c r="E247" s="3"/>
      <c r="F247" s="3"/>
      <c r="G247" s="23"/>
    </row>
    <row r="248">
      <c r="E248" s="3"/>
      <c r="F248" s="3"/>
      <c r="G248" s="23"/>
    </row>
    <row r="249">
      <c r="E249" s="3"/>
      <c r="F249" s="3"/>
      <c r="G249" s="23"/>
    </row>
    <row r="250">
      <c r="E250" s="3"/>
      <c r="F250" s="3"/>
      <c r="G250" s="23"/>
    </row>
    <row r="251">
      <c r="E251" s="3"/>
      <c r="F251" s="3"/>
      <c r="G251" s="23"/>
    </row>
    <row r="252">
      <c r="E252" s="3"/>
      <c r="F252" s="3"/>
      <c r="G252" s="23"/>
    </row>
    <row r="253">
      <c r="E253" s="3"/>
      <c r="F253" s="3"/>
      <c r="G253" s="23"/>
    </row>
    <row r="254">
      <c r="E254" s="3"/>
      <c r="F254" s="3"/>
      <c r="G254" s="23"/>
    </row>
    <row r="255">
      <c r="E255" s="3"/>
      <c r="F255" s="3"/>
      <c r="G255" s="23"/>
    </row>
    <row r="256">
      <c r="E256" s="3"/>
      <c r="F256" s="3"/>
      <c r="G256" s="23"/>
    </row>
    <row r="257">
      <c r="E257" s="3"/>
      <c r="F257" s="3"/>
      <c r="G257" s="23"/>
    </row>
    <row r="258">
      <c r="E258" s="3"/>
      <c r="F258" s="3"/>
      <c r="G258" s="23"/>
    </row>
    <row r="259">
      <c r="E259" s="3"/>
      <c r="F259" s="3"/>
      <c r="G259" s="23"/>
    </row>
    <row r="260">
      <c r="E260" s="3"/>
      <c r="F260" s="3"/>
      <c r="G260" s="23"/>
    </row>
    <row r="261">
      <c r="E261" s="3"/>
      <c r="F261" s="3"/>
      <c r="G261" s="23"/>
    </row>
    <row r="262">
      <c r="E262" s="3"/>
      <c r="F262" s="3"/>
      <c r="G262" s="23"/>
    </row>
    <row r="263">
      <c r="E263" s="3"/>
      <c r="F263" s="3"/>
      <c r="G263" s="23"/>
    </row>
    <row r="264">
      <c r="E264" s="3"/>
      <c r="F264" s="3"/>
      <c r="G264" s="23"/>
    </row>
    <row r="265">
      <c r="E265" s="3"/>
      <c r="F265" s="3"/>
      <c r="G265" s="23"/>
    </row>
    <row r="266">
      <c r="E266" s="3"/>
      <c r="F266" s="3"/>
      <c r="G266" s="23"/>
    </row>
    <row r="267">
      <c r="E267" s="3"/>
      <c r="F267" s="3"/>
      <c r="G267" s="23"/>
    </row>
    <row r="268">
      <c r="E268" s="3"/>
      <c r="F268" s="3"/>
      <c r="G268" s="23"/>
    </row>
    <row r="269">
      <c r="E269" s="3"/>
      <c r="F269" s="3"/>
      <c r="G269" s="23"/>
    </row>
    <row r="270">
      <c r="E270" s="3"/>
      <c r="F270" s="3"/>
      <c r="G270" s="23"/>
    </row>
    <row r="271">
      <c r="E271" s="3"/>
      <c r="F271" s="3"/>
      <c r="G271" s="23"/>
    </row>
    <row r="272">
      <c r="E272" s="3"/>
      <c r="F272" s="3"/>
      <c r="G272" s="23"/>
    </row>
    <row r="273">
      <c r="E273" s="3"/>
      <c r="F273" s="3"/>
      <c r="G273" s="23"/>
    </row>
    <row r="274">
      <c r="E274" s="3"/>
      <c r="F274" s="3"/>
      <c r="G274" s="23"/>
    </row>
    <row r="275">
      <c r="E275" s="3"/>
      <c r="F275" s="3"/>
      <c r="G275" s="23"/>
    </row>
    <row r="276">
      <c r="E276" s="3"/>
      <c r="F276" s="3"/>
      <c r="G276" s="23"/>
    </row>
    <row r="277">
      <c r="E277" s="3"/>
      <c r="F277" s="3"/>
      <c r="G277" s="23"/>
    </row>
    <row r="278">
      <c r="E278" s="3"/>
      <c r="F278" s="3"/>
      <c r="G278" s="23"/>
    </row>
    <row r="279">
      <c r="E279" s="3"/>
      <c r="F279" s="3"/>
      <c r="G279" s="23"/>
    </row>
    <row r="280">
      <c r="E280" s="3"/>
      <c r="F280" s="3"/>
      <c r="G280" s="23"/>
    </row>
    <row r="281">
      <c r="E281" s="3"/>
      <c r="F281" s="3"/>
      <c r="G281" s="23"/>
    </row>
    <row r="282">
      <c r="E282" s="3"/>
      <c r="F282" s="3"/>
      <c r="G282" s="23"/>
    </row>
    <row r="283">
      <c r="E283" s="3"/>
      <c r="F283" s="3"/>
      <c r="G283" s="23"/>
    </row>
    <row r="284">
      <c r="E284" s="3"/>
      <c r="F284" s="3"/>
      <c r="G284" s="23"/>
    </row>
    <row r="285">
      <c r="E285" s="3"/>
      <c r="F285" s="3"/>
      <c r="G285" s="23"/>
    </row>
    <row r="286">
      <c r="E286" s="3"/>
      <c r="F286" s="3"/>
      <c r="G286" s="23"/>
    </row>
    <row r="287">
      <c r="E287" s="3"/>
      <c r="F287" s="3"/>
      <c r="G287" s="23"/>
    </row>
    <row r="288">
      <c r="E288" s="3"/>
      <c r="F288" s="3"/>
      <c r="G288" s="23"/>
    </row>
    <row r="289">
      <c r="E289" s="3"/>
      <c r="F289" s="3"/>
      <c r="G289" s="23"/>
    </row>
    <row r="290">
      <c r="E290" s="3"/>
      <c r="F290" s="3"/>
      <c r="G290" s="23"/>
    </row>
    <row r="291">
      <c r="E291" s="3"/>
      <c r="F291" s="3"/>
      <c r="G291" s="23"/>
    </row>
    <row r="292">
      <c r="E292" s="3"/>
      <c r="F292" s="3"/>
      <c r="G292" s="23"/>
    </row>
    <row r="293">
      <c r="E293" s="3"/>
      <c r="F293" s="3"/>
      <c r="G293" s="23"/>
    </row>
    <row r="294">
      <c r="E294" s="3"/>
      <c r="F294" s="3"/>
      <c r="G294" s="23"/>
    </row>
    <row r="295">
      <c r="E295" s="3"/>
      <c r="F295" s="3"/>
      <c r="G295" s="23"/>
    </row>
    <row r="296">
      <c r="E296" s="3"/>
      <c r="F296" s="3"/>
      <c r="G296" s="23"/>
    </row>
    <row r="297">
      <c r="E297" s="3"/>
      <c r="F297" s="3"/>
      <c r="G297" s="23"/>
    </row>
    <row r="298">
      <c r="E298" s="3"/>
      <c r="F298" s="3"/>
      <c r="G298" s="23"/>
    </row>
    <row r="299">
      <c r="E299" s="3"/>
      <c r="F299" s="3"/>
      <c r="G299" s="23"/>
    </row>
    <row r="300">
      <c r="E300" s="3"/>
      <c r="F300" s="3"/>
      <c r="G300" s="23"/>
    </row>
    <row r="301">
      <c r="E301" s="3"/>
      <c r="F301" s="3"/>
      <c r="G301" s="23"/>
    </row>
    <row r="302">
      <c r="E302" s="3"/>
      <c r="F302" s="3"/>
      <c r="G302" s="23"/>
    </row>
    <row r="303">
      <c r="E303" s="3"/>
      <c r="F303" s="3"/>
      <c r="G303" s="23"/>
    </row>
    <row r="304">
      <c r="E304" s="3"/>
      <c r="F304" s="3"/>
      <c r="G304" s="23"/>
    </row>
    <row r="305">
      <c r="E305" s="3"/>
      <c r="F305" s="3"/>
      <c r="G305" s="23"/>
    </row>
    <row r="306">
      <c r="E306" s="3"/>
      <c r="F306" s="3"/>
      <c r="G306" s="23"/>
    </row>
    <row r="307">
      <c r="E307" s="3"/>
      <c r="F307" s="3"/>
      <c r="G307" s="23"/>
    </row>
    <row r="308">
      <c r="E308" s="3"/>
      <c r="F308" s="3"/>
      <c r="G308" s="23"/>
    </row>
    <row r="309">
      <c r="E309" s="3"/>
      <c r="F309" s="3"/>
      <c r="G309" s="23"/>
    </row>
    <row r="310">
      <c r="E310" s="3"/>
      <c r="F310" s="3"/>
      <c r="G310" s="23"/>
    </row>
    <row r="311">
      <c r="E311" s="3"/>
      <c r="F311" s="3"/>
      <c r="G311" s="23"/>
    </row>
    <row r="312">
      <c r="E312" s="3"/>
      <c r="F312" s="3"/>
      <c r="G312" s="23"/>
    </row>
    <row r="313">
      <c r="E313" s="3"/>
      <c r="F313" s="3"/>
      <c r="G313" s="23"/>
    </row>
    <row r="314">
      <c r="E314" s="3"/>
      <c r="F314" s="3"/>
      <c r="G314" s="23"/>
    </row>
    <row r="315">
      <c r="E315" s="3"/>
      <c r="F315" s="3"/>
      <c r="G315" s="23"/>
    </row>
    <row r="316">
      <c r="E316" s="3"/>
      <c r="F316" s="3"/>
      <c r="G316" s="23"/>
    </row>
    <row r="317">
      <c r="E317" s="3"/>
      <c r="F317" s="3"/>
      <c r="G317" s="23"/>
    </row>
    <row r="318">
      <c r="E318" s="3"/>
      <c r="F318" s="3"/>
      <c r="G318" s="23"/>
    </row>
    <row r="319">
      <c r="E319" s="3"/>
      <c r="F319" s="3"/>
      <c r="G319" s="23"/>
    </row>
    <row r="320">
      <c r="E320" s="3"/>
      <c r="F320" s="3"/>
      <c r="G320" s="23"/>
    </row>
    <row r="321">
      <c r="E321" s="3"/>
      <c r="F321" s="3"/>
      <c r="G321" s="23"/>
    </row>
    <row r="322">
      <c r="E322" s="3"/>
      <c r="F322" s="3"/>
      <c r="G322" s="23"/>
    </row>
    <row r="323">
      <c r="E323" s="3"/>
      <c r="F323" s="3"/>
      <c r="G323" s="23"/>
    </row>
    <row r="324">
      <c r="E324" s="3"/>
      <c r="F324" s="3"/>
      <c r="G324" s="23"/>
    </row>
    <row r="325">
      <c r="E325" s="3"/>
      <c r="F325" s="3"/>
      <c r="G325" s="23"/>
    </row>
    <row r="326">
      <c r="E326" s="3"/>
      <c r="F326" s="3"/>
      <c r="G326" s="23"/>
    </row>
    <row r="327">
      <c r="E327" s="3"/>
      <c r="F327" s="3"/>
      <c r="G327" s="23"/>
    </row>
    <row r="328">
      <c r="E328" s="3"/>
      <c r="F328" s="3"/>
      <c r="G328" s="23"/>
    </row>
    <row r="329">
      <c r="E329" s="3"/>
      <c r="F329" s="3"/>
      <c r="G329" s="23"/>
    </row>
    <row r="330">
      <c r="E330" s="3"/>
      <c r="F330" s="3"/>
      <c r="G330" s="23"/>
    </row>
    <row r="331">
      <c r="E331" s="3"/>
      <c r="F331" s="3"/>
      <c r="G331" s="23"/>
    </row>
    <row r="332">
      <c r="E332" s="3"/>
      <c r="F332" s="3"/>
      <c r="G332" s="23"/>
    </row>
    <row r="333">
      <c r="E333" s="3"/>
      <c r="F333" s="3"/>
      <c r="G333" s="23"/>
    </row>
    <row r="334">
      <c r="E334" s="3"/>
      <c r="F334" s="3"/>
      <c r="G334" s="23"/>
    </row>
    <row r="335">
      <c r="E335" s="3"/>
      <c r="F335" s="3"/>
      <c r="G335" s="23"/>
    </row>
    <row r="336">
      <c r="E336" s="3"/>
      <c r="F336" s="3"/>
      <c r="G336" s="23"/>
    </row>
    <row r="337">
      <c r="E337" s="3"/>
      <c r="F337" s="3"/>
      <c r="G337" s="23"/>
    </row>
    <row r="338">
      <c r="E338" s="3"/>
      <c r="F338" s="3"/>
      <c r="G338" s="23"/>
    </row>
    <row r="339">
      <c r="E339" s="3"/>
      <c r="F339" s="3"/>
      <c r="G339" s="23"/>
    </row>
    <row r="340">
      <c r="E340" s="3"/>
      <c r="F340" s="3"/>
      <c r="G340" s="23"/>
    </row>
    <row r="341">
      <c r="E341" s="3"/>
      <c r="F341" s="3"/>
      <c r="G341" s="23"/>
    </row>
    <row r="342">
      <c r="E342" s="3"/>
      <c r="F342" s="3"/>
      <c r="G342" s="23"/>
    </row>
    <row r="343">
      <c r="E343" s="3"/>
      <c r="F343" s="3"/>
      <c r="G343" s="23"/>
    </row>
    <row r="344">
      <c r="E344" s="3"/>
      <c r="F344" s="3"/>
      <c r="G344" s="23"/>
    </row>
    <row r="345">
      <c r="E345" s="3"/>
      <c r="F345" s="3"/>
      <c r="G345" s="23"/>
    </row>
    <row r="346">
      <c r="E346" s="3"/>
      <c r="F346" s="3"/>
      <c r="G346" s="23"/>
    </row>
    <row r="347">
      <c r="E347" s="3"/>
      <c r="F347" s="3"/>
      <c r="G347" s="23"/>
    </row>
    <row r="348">
      <c r="E348" s="3"/>
      <c r="F348" s="3"/>
      <c r="G348" s="23"/>
    </row>
    <row r="349">
      <c r="E349" s="3"/>
      <c r="F349" s="3"/>
      <c r="G349" s="23"/>
    </row>
    <row r="350">
      <c r="E350" s="3"/>
      <c r="F350" s="3"/>
      <c r="G350" s="23"/>
    </row>
    <row r="351">
      <c r="E351" s="3"/>
      <c r="F351" s="3"/>
      <c r="G351" s="23"/>
    </row>
    <row r="352">
      <c r="E352" s="3"/>
      <c r="F352" s="3"/>
      <c r="G352" s="23"/>
    </row>
    <row r="353">
      <c r="E353" s="3"/>
      <c r="F353" s="3"/>
      <c r="G353" s="23"/>
    </row>
    <row r="354">
      <c r="E354" s="3"/>
      <c r="F354" s="3"/>
      <c r="G354" s="23"/>
    </row>
    <row r="355">
      <c r="E355" s="3"/>
      <c r="F355" s="3"/>
      <c r="G355" s="23"/>
    </row>
    <row r="356">
      <c r="E356" s="3"/>
      <c r="F356" s="3"/>
      <c r="G356" s="23"/>
    </row>
    <row r="357">
      <c r="E357" s="3"/>
      <c r="F357" s="3"/>
      <c r="G357" s="23"/>
    </row>
    <row r="358">
      <c r="E358" s="3"/>
      <c r="F358" s="3"/>
      <c r="G358" s="23"/>
    </row>
    <row r="359">
      <c r="E359" s="3"/>
      <c r="F359" s="3"/>
      <c r="G359" s="23"/>
    </row>
    <row r="360">
      <c r="E360" s="3"/>
      <c r="F360" s="3"/>
      <c r="G360" s="23"/>
    </row>
    <row r="361">
      <c r="E361" s="3"/>
      <c r="F361" s="3"/>
      <c r="G361" s="23"/>
    </row>
    <row r="362">
      <c r="E362" s="3"/>
      <c r="F362" s="3"/>
      <c r="G362" s="23"/>
    </row>
    <row r="363">
      <c r="E363" s="3"/>
      <c r="F363" s="3"/>
      <c r="G363" s="23"/>
    </row>
    <row r="364">
      <c r="E364" s="3"/>
      <c r="F364" s="3"/>
      <c r="G364" s="23"/>
    </row>
    <row r="365">
      <c r="E365" s="3"/>
      <c r="F365" s="3"/>
      <c r="G365" s="23"/>
    </row>
    <row r="366">
      <c r="E366" s="3"/>
      <c r="F366" s="3"/>
      <c r="G366" s="23"/>
    </row>
    <row r="367">
      <c r="E367" s="3"/>
      <c r="F367" s="3"/>
      <c r="G367" s="23"/>
    </row>
    <row r="368">
      <c r="E368" s="3"/>
      <c r="F368" s="3"/>
      <c r="G368" s="23"/>
    </row>
    <row r="369">
      <c r="E369" s="3"/>
      <c r="F369" s="3"/>
      <c r="G369" s="23"/>
    </row>
    <row r="370">
      <c r="E370" s="3"/>
      <c r="F370" s="3"/>
      <c r="G370" s="23"/>
    </row>
    <row r="371">
      <c r="E371" s="3"/>
      <c r="F371" s="3"/>
      <c r="G371" s="23"/>
    </row>
    <row r="372">
      <c r="E372" s="3"/>
      <c r="F372" s="3"/>
      <c r="G372" s="23"/>
    </row>
    <row r="373">
      <c r="E373" s="3"/>
      <c r="F373" s="3"/>
      <c r="G373" s="23"/>
    </row>
    <row r="374">
      <c r="E374" s="3"/>
      <c r="F374" s="3"/>
      <c r="G374" s="23"/>
    </row>
    <row r="375">
      <c r="E375" s="3"/>
      <c r="F375" s="3"/>
      <c r="G375" s="23"/>
    </row>
    <row r="376">
      <c r="E376" s="3"/>
      <c r="F376" s="3"/>
      <c r="G376" s="23"/>
    </row>
    <row r="377">
      <c r="E377" s="3"/>
      <c r="F377" s="3"/>
      <c r="G377" s="23"/>
    </row>
    <row r="378">
      <c r="E378" s="3"/>
      <c r="F378" s="3"/>
      <c r="G378" s="23"/>
    </row>
    <row r="379">
      <c r="E379" s="3"/>
      <c r="F379" s="3"/>
      <c r="G379" s="23"/>
    </row>
    <row r="380">
      <c r="E380" s="3"/>
      <c r="F380" s="3"/>
      <c r="G380" s="23"/>
    </row>
    <row r="381">
      <c r="E381" s="3"/>
      <c r="F381" s="3"/>
      <c r="G381" s="23"/>
    </row>
    <row r="382">
      <c r="E382" s="3"/>
      <c r="F382" s="3"/>
      <c r="G382" s="23"/>
    </row>
    <row r="383">
      <c r="E383" s="3"/>
      <c r="F383" s="3"/>
      <c r="G383" s="23"/>
    </row>
    <row r="384">
      <c r="E384" s="3"/>
      <c r="F384" s="3"/>
      <c r="G384" s="23"/>
    </row>
    <row r="385">
      <c r="E385" s="3"/>
      <c r="F385" s="3"/>
      <c r="G385" s="23"/>
    </row>
    <row r="386">
      <c r="E386" s="3"/>
      <c r="F386" s="3"/>
      <c r="G386" s="23"/>
    </row>
    <row r="387">
      <c r="E387" s="3"/>
      <c r="F387" s="3"/>
      <c r="G387" s="23"/>
    </row>
    <row r="388">
      <c r="E388" s="3"/>
      <c r="F388" s="3"/>
      <c r="G388" s="23"/>
    </row>
    <row r="389">
      <c r="E389" s="3"/>
      <c r="F389" s="3"/>
      <c r="G389" s="23"/>
    </row>
    <row r="390">
      <c r="E390" s="3"/>
      <c r="F390" s="3"/>
      <c r="G390" s="23"/>
    </row>
    <row r="391">
      <c r="E391" s="3"/>
      <c r="F391" s="3"/>
      <c r="G391" s="23"/>
    </row>
    <row r="392">
      <c r="E392" s="3"/>
      <c r="F392" s="3"/>
      <c r="G392" s="23"/>
    </row>
    <row r="393">
      <c r="E393" s="3"/>
      <c r="F393" s="3"/>
      <c r="G393" s="23"/>
    </row>
    <row r="394">
      <c r="E394" s="3"/>
      <c r="F394" s="3"/>
      <c r="G394" s="23"/>
    </row>
    <row r="395">
      <c r="E395" s="3"/>
      <c r="F395" s="3"/>
      <c r="G395" s="23"/>
    </row>
    <row r="396">
      <c r="E396" s="3"/>
      <c r="F396" s="3"/>
      <c r="G396" s="23"/>
    </row>
    <row r="397">
      <c r="E397" s="3"/>
      <c r="F397" s="3"/>
      <c r="G397" s="23"/>
    </row>
    <row r="398">
      <c r="E398" s="3"/>
      <c r="F398" s="3"/>
      <c r="G398" s="23"/>
    </row>
    <row r="399">
      <c r="E399" s="3"/>
      <c r="F399" s="3"/>
      <c r="G399" s="23"/>
    </row>
    <row r="400">
      <c r="E400" s="3"/>
      <c r="F400" s="3"/>
      <c r="G400" s="23"/>
    </row>
    <row r="401">
      <c r="E401" s="3"/>
      <c r="F401" s="3"/>
      <c r="G401" s="23"/>
    </row>
    <row r="402">
      <c r="E402" s="3"/>
      <c r="F402" s="3"/>
      <c r="G402" s="23"/>
    </row>
    <row r="403">
      <c r="E403" s="3"/>
      <c r="F403" s="3"/>
      <c r="G403" s="23"/>
    </row>
    <row r="404">
      <c r="E404" s="3"/>
      <c r="F404" s="3"/>
      <c r="G404" s="23"/>
    </row>
    <row r="405">
      <c r="E405" s="3"/>
      <c r="F405" s="3"/>
      <c r="G405" s="23"/>
    </row>
    <row r="406">
      <c r="E406" s="3"/>
      <c r="F406" s="3"/>
      <c r="G406" s="23"/>
    </row>
    <row r="407">
      <c r="E407" s="3"/>
      <c r="F407" s="3"/>
      <c r="G407" s="23"/>
    </row>
    <row r="408">
      <c r="E408" s="3"/>
      <c r="F408" s="3"/>
      <c r="G408" s="23"/>
    </row>
    <row r="409">
      <c r="E409" s="3"/>
      <c r="F409" s="3"/>
      <c r="G409" s="23"/>
    </row>
    <row r="410">
      <c r="E410" s="3"/>
      <c r="F410" s="3"/>
      <c r="G410" s="23"/>
    </row>
    <row r="411">
      <c r="E411" s="3"/>
      <c r="F411" s="3"/>
      <c r="G411" s="23"/>
    </row>
    <row r="412">
      <c r="E412" s="3"/>
      <c r="F412" s="3"/>
      <c r="G412" s="23"/>
    </row>
    <row r="413">
      <c r="E413" s="3"/>
      <c r="F413" s="3"/>
      <c r="G413" s="23"/>
    </row>
    <row r="414">
      <c r="E414" s="3"/>
      <c r="F414" s="3"/>
      <c r="G414" s="23"/>
    </row>
    <row r="415">
      <c r="E415" s="3"/>
      <c r="F415" s="3"/>
      <c r="G415" s="23"/>
    </row>
    <row r="416">
      <c r="E416" s="3"/>
      <c r="F416" s="3"/>
      <c r="G416" s="23"/>
    </row>
    <row r="417">
      <c r="E417" s="3"/>
      <c r="F417" s="3"/>
      <c r="G417" s="23"/>
    </row>
    <row r="418">
      <c r="E418" s="3"/>
      <c r="F418" s="3"/>
      <c r="G418" s="23"/>
    </row>
    <row r="419">
      <c r="E419" s="3"/>
      <c r="F419" s="3"/>
      <c r="G419" s="23"/>
    </row>
    <row r="420">
      <c r="E420" s="3"/>
      <c r="F420" s="3"/>
      <c r="G420" s="23"/>
    </row>
    <row r="421">
      <c r="E421" s="3"/>
      <c r="F421" s="3"/>
      <c r="G421" s="23"/>
    </row>
    <row r="422">
      <c r="E422" s="3"/>
      <c r="F422" s="3"/>
      <c r="G422" s="23"/>
    </row>
    <row r="423">
      <c r="E423" s="3"/>
      <c r="F423" s="3"/>
      <c r="G423" s="23"/>
    </row>
    <row r="424">
      <c r="E424" s="3"/>
      <c r="F424" s="3"/>
      <c r="G424" s="23"/>
    </row>
    <row r="425">
      <c r="E425" s="3"/>
      <c r="F425" s="3"/>
      <c r="G425" s="23"/>
    </row>
    <row r="426">
      <c r="E426" s="3"/>
      <c r="F426" s="3"/>
      <c r="G426" s="23"/>
    </row>
    <row r="427">
      <c r="E427" s="3"/>
      <c r="F427" s="3"/>
      <c r="G427" s="23"/>
    </row>
    <row r="428">
      <c r="E428" s="3"/>
      <c r="F428" s="3"/>
      <c r="G428" s="23"/>
    </row>
    <row r="429">
      <c r="E429" s="3"/>
      <c r="F429" s="3"/>
      <c r="G429" s="23"/>
    </row>
    <row r="430">
      <c r="E430" s="3"/>
      <c r="F430" s="3"/>
      <c r="G430" s="23"/>
    </row>
    <row r="431">
      <c r="E431" s="3"/>
      <c r="F431" s="3"/>
      <c r="G431" s="23"/>
    </row>
    <row r="432">
      <c r="E432" s="3"/>
      <c r="F432" s="3"/>
      <c r="G432" s="23"/>
    </row>
    <row r="433">
      <c r="E433" s="3"/>
      <c r="F433" s="3"/>
      <c r="G433" s="23"/>
    </row>
    <row r="434">
      <c r="E434" s="3"/>
      <c r="F434" s="3"/>
      <c r="G434" s="23"/>
    </row>
    <row r="435">
      <c r="E435" s="3"/>
      <c r="F435" s="3"/>
      <c r="G435" s="23"/>
    </row>
    <row r="436">
      <c r="E436" s="3"/>
      <c r="F436" s="3"/>
      <c r="G436" s="23"/>
    </row>
    <row r="437">
      <c r="E437" s="3"/>
      <c r="F437" s="3"/>
      <c r="G437" s="23"/>
    </row>
    <row r="438">
      <c r="E438" s="3"/>
      <c r="F438" s="3"/>
      <c r="G438" s="23"/>
    </row>
    <row r="439">
      <c r="E439" s="3"/>
      <c r="F439" s="3"/>
      <c r="G439" s="23"/>
    </row>
    <row r="440">
      <c r="E440" s="3"/>
      <c r="F440" s="3"/>
      <c r="G440" s="23"/>
    </row>
    <row r="441">
      <c r="E441" s="3"/>
      <c r="F441" s="3"/>
      <c r="G441" s="23"/>
    </row>
    <row r="442">
      <c r="E442" s="3"/>
      <c r="F442" s="3"/>
      <c r="G442" s="23"/>
    </row>
    <row r="443">
      <c r="E443" s="3"/>
      <c r="F443" s="3"/>
      <c r="G443" s="23"/>
    </row>
    <row r="444">
      <c r="E444" s="3"/>
      <c r="F444" s="3"/>
      <c r="G444" s="23"/>
    </row>
    <row r="445">
      <c r="E445" s="3"/>
      <c r="F445" s="3"/>
      <c r="G445" s="23"/>
    </row>
    <row r="446">
      <c r="E446" s="3"/>
      <c r="F446" s="3"/>
      <c r="G446" s="23"/>
    </row>
    <row r="447">
      <c r="E447" s="3"/>
      <c r="F447" s="3"/>
      <c r="G447" s="23"/>
    </row>
    <row r="448">
      <c r="E448" s="3"/>
      <c r="F448" s="3"/>
      <c r="G448" s="23"/>
    </row>
    <row r="449">
      <c r="E449" s="3"/>
      <c r="F449" s="3"/>
      <c r="G449" s="23"/>
    </row>
    <row r="450">
      <c r="E450" s="3"/>
      <c r="F450" s="3"/>
      <c r="G450" s="23"/>
    </row>
    <row r="451">
      <c r="E451" s="3"/>
      <c r="F451" s="3"/>
      <c r="G451" s="23"/>
    </row>
    <row r="452">
      <c r="E452" s="3"/>
      <c r="F452" s="3"/>
      <c r="G452" s="23"/>
    </row>
    <row r="453">
      <c r="E453" s="3"/>
      <c r="F453" s="3"/>
      <c r="G453" s="23"/>
    </row>
    <row r="454">
      <c r="E454" s="3"/>
      <c r="F454" s="3"/>
      <c r="G454" s="23"/>
    </row>
    <row r="455">
      <c r="E455" s="3"/>
      <c r="F455" s="3"/>
      <c r="G455" s="23"/>
    </row>
    <row r="456">
      <c r="E456" s="3"/>
      <c r="F456" s="3"/>
      <c r="G456" s="23"/>
    </row>
    <row r="457">
      <c r="E457" s="3"/>
      <c r="F457" s="3"/>
      <c r="G457" s="23"/>
    </row>
    <row r="458">
      <c r="E458" s="3"/>
      <c r="F458" s="3"/>
      <c r="G458" s="23"/>
    </row>
    <row r="459">
      <c r="E459" s="3"/>
      <c r="F459" s="3"/>
      <c r="G459" s="23"/>
    </row>
    <row r="460">
      <c r="E460" s="3"/>
      <c r="F460" s="3"/>
      <c r="G460" s="23"/>
    </row>
    <row r="461">
      <c r="E461" s="3"/>
      <c r="F461" s="3"/>
      <c r="G461" s="23"/>
    </row>
    <row r="462">
      <c r="E462" s="3"/>
      <c r="F462" s="3"/>
      <c r="G462" s="23"/>
    </row>
    <row r="463">
      <c r="E463" s="3"/>
      <c r="F463" s="3"/>
      <c r="G463" s="23"/>
    </row>
    <row r="464">
      <c r="E464" s="3"/>
      <c r="F464" s="3"/>
      <c r="G464" s="23"/>
    </row>
    <row r="465">
      <c r="E465" s="3"/>
      <c r="F465" s="3"/>
      <c r="G465" s="23"/>
    </row>
    <row r="466">
      <c r="E466" s="3"/>
      <c r="F466" s="3"/>
      <c r="G466" s="23"/>
    </row>
    <row r="467">
      <c r="E467" s="3"/>
      <c r="F467" s="3"/>
      <c r="G467" s="23"/>
    </row>
    <row r="468">
      <c r="E468" s="3"/>
      <c r="F468" s="3"/>
      <c r="G468" s="23"/>
    </row>
    <row r="469">
      <c r="E469" s="3"/>
      <c r="F469" s="3"/>
      <c r="G469" s="23"/>
    </row>
    <row r="470">
      <c r="E470" s="3"/>
      <c r="F470" s="3"/>
      <c r="G470" s="23"/>
    </row>
    <row r="471">
      <c r="E471" s="3"/>
      <c r="F471" s="3"/>
      <c r="G471" s="23"/>
    </row>
    <row r="472">
      <c r="E472" s="3"/>
      <c r="F472" s="3"/>
      <c r="G472" s="23"/>
    </row>
    <row r="473">
      <c r="E473" s="3"/>
      <c r="F473" s="3"/>
      <c r="G473" s="23"/>
    </row>
    <row r="474">
      <c r="E474" s="3"/>
      <c r="F474" s="3"/>
      <c r="G474" s="23"/>
    </row>
    <row r="475">
      <c r="E475" s="3"/>
      <c r="F475" s="3"/>
      <c r="G475" s="23"/>
    </row>
    <row r="476">
      <c r="E476" s="3"/>
      <c r="F476" s="3"/>
      <c r="G476" s="23"/>
    </row>
    <row r="477">
      <c r="E477" s="3"/>
      <c r="F477" s="3"/>
      <c r="G477" s="23"/>
    </row>
    <row r="478">
      <c r="E478" s="3"/>
      <c r="F478" s="3"/>
      <c r="G478" s="23"/>
    </row>
    <row r="479">
      <c r="E479" s="3"/>
      <c r="F479" s="3"/>
      <c r="G479" s="23"/>
    </row>
    <row r="480">
      <c r="E480" s="3"/>
      <c r="F480" s="3"/>
      <c r="G480" s="23"/>
    </row>
    <row r="481">
      <c r="E481" s="3"/>
      <c r="F481" s="3"/>
      <c r="G481" s="23"/>
    </row>
    <row r="482">
      <c r="E482" s="3"/>
      <c r="F482" s="3"/>
      <c r="G482" s="23"/>
    </row>
    <row r="483">
      <c r="E483" s="3"/>
      <c r="F483" s="3"/>
      <c r="G483" s="23"/>
    </row>
    <row r="484">
      <c r="E484" s="3"/>
      <c r="F484" s="3"/>
      <c r="G484" s="23"/>
    </row>
    <row r="485">
      <c r="E485" s="3"/>
      <c r="F485" s="3"/>
      <c r="G485" s="23"/>
    </row>
    <row r="486">
      <c r="E486" s="3"/>
      <c r="F486" s="3"/>
      <c r="G486" s="23"/>
    </row>
    <row r="487">
      <c r="E487" s="3"/>
      <c r="F487" s="3"/>
      <c r="G487" s="23"/>
    </row>
    <row r="488">
      <c r="E488" s="3"/>
      <c r="F488" s="3"/>
      <c r="G488" s="23"/>
    </row>
    <row r="489">
      <c r="E489" s="3"/>
      <c r="F489" s="3"/>
      <c r="G489" s="23"/>
    </row>
    <row r="490">
      <c r="E490" s="3"/>
      <c r="F490" s="3"/>
      <c r="G490" s="23"/>
    </row>
    <row r="491">
      <c r="E491" s="3"/>
      <c r="F491" s="3"/>
      <c r="G491" s="23"/>
    </row>
    <row r="492">
      <c r="E492" s="3"/>
      <c r="F492" s="3"/>
      <c r="G492" s="23"/>
    </row>
    <row r="493">
      <c r="E493" s="3"/>
      <c r="F493" s="3"/>
      <c r="G493" s="23"/>
    </row>
    <row r="494">
      <c r="E494" s="3"/>
      <c r="F494" s="3"/>
      <c r="G494" s="23"/>
    </row>
    <row r="495">
      <c r="E495" s="3"/>
      <c r="F495" s="3"/>
      <c r="G495" s="23"/>
    </row>
    <row r="496">
      <c r="E496" s="3"/>
      <c r="F496" s="3"/>
      <c r="G496" s="23"/>
    </row>
    <row r="497">
      <c r="E497" s="3"/>
      <c r="F497" s="3"/>
      <c r="G497" s="23"/>
    </row>
    <row r="498">
      <c r="E498" s="3"/>
      <c r="F498" s="3"/>
      <c r="G498" s="23"/>
    </row>
    <row r="499">
      <c r="E499" s="3"/>
      <c r="F499" s="3"/>
      <c r="G499" s="23"/>
    </row>
    <row r="500">
      <c r="E500" s="3"/>
      <c r="F500" s="3"/>
      <c r="G500" s="23"/>
    </row>
    <row r="501">
      <c r="E501" s="3"/>
      <c r="F501" s="3"/>
      <c r="G501" s="23"/>
    </row>
    <row r="502">
      <c r="E502" s="3"/>
      <c r="F502" s="3"/>
      <c r="G502" s="23"/>
    </row>
    <row r="503">
      <c r="E503" s="3"/>
      <c r="F503" s="3"/>
      <c r="G503" s="23"/>
    </row>
    <row r="504">
      <c r="E504" s="3"/>
      <c r="F504" s="3"/>
      <c r="G504" s="23"/>
    </row>
    <row r="505">
      <c r="E505" s="3"/>
      <c r="F505" s="3"/>
      <c r="G505" s="23"/>
    </row>
    <row r="506">
      <c r="E506" s="3"/>
      <c r="F506" s="3"/>
      <c r="G506" s="23"/>
    </row>
    <row r="507">
      <c r="E507" s="3"/>
      <c r="F507" s="3"/>
      <c r="G507" s="23"/>
    </row>
    <row r="508">
      <c r="E508" s="3"/>
      <c r="F508" s="3"/>
      <c r="G508" s="23"/>
    </row>
    <row r="509">
      <c r="E509" s="3"/>
      <c r="F509" s="3"/>
      <c r="G509" s="23"/>
    </row>
    <row r="510">
      <c r="E510" s="3"/>
      <c r="F510" s="3"/>
      <c r="G510" s="23"/>
    </row>
    <row r="511">
      <c r="E511" s="3"/>
      <c r="F511" s="3"/>
      <c r="G511" s="23"/>
    </row>
    <row r="512">
      <c r="E512" s="3"/>
      <c r="F512" s="3"/>
      <c r="G512" s="23"/>
    </row>
    <row r="513">
      <c r="E513" s="3"/>
      <c r="F513" s="3"/>
      <c r="G513" s="23"/>
    </row>
    <row r="514">
      <c r="E514" s="3"/>
      <c r="F514" s="3"/>
      <c r="G514" s="23"/>
    </row>
    <row r="515">
      <c r="E515" s="3"/>
      <c r="F515" s="3"/>
      <c r="G515" s="23"/>
    </row>
    <row r="516">
      <c r="E516" s="3"/>
      <c r="F516" s="3"/>
      <c r="G516" s="23"/>
    </row>
    <row r="517">
      <c r="E517" s="3"/>
      <c r="F517" s="3"/>
      <c r="G517" s="23"/>
    </row>
    <row r="518">
      <c r="E518" s="3"/>
      <c r="F518" s="3"/>
      <c r="G518" s="23"/>
    </row>
    <row r="519">
      <c r="E519" s="3"/>
      <c r="F519" s="3"/>
      <c r="G519" s="23"/>
    </row>
    <row r="520">
      <c r="E520" s="3"/>
      <c r="F520" s="3"/>
      <c r="G520" s="23"/>
    </row>
    <row r="521">
      <c r="E521" s="3"/>
      <c r="F521" s="3"/>
      <c r="G521" s="23"/>
    </row>
    <row r="522">
      <c r="E522" s="3"/>
      <c r="F522" s="3"/>
      <c r="G522" s="23"/>
    </row>
    <row r="523">
      <c r="E523" s="3"/>
      <c r="F523" s="3"/>
      <c r="G523" s="23"/>
    </row>
    <row r="524">
      <c r="E524" s="3"/>
      <c r="F524" s="3"/>
      <c r="G524" s="23"/>
    </row>
    <row r="525">
      <c r="E525" s="3"/>
      <c r="F525" s="3"/>
      <c r="G525" s="23"/>
    </row>
    <row r="526">
      <c r="E526" s="3"/>
      <c r="F526" s="3"/>
      <c r="G526" s="23"/>
    </row>
    <row r="527">
      <c r="E527" s="3"/>
      <c r="F527" s="3"/>
      <c r="G527" s="23"/>
    </row>
    <row r="528">
      <c r="E528" s="3"/>
      <c r="F528" s="3"/>
      <c r="G528" s="23"/>
    </row>
    <row r="529">
      <c r="E529" s="3"/>
      <c r="F529" s="3"/>
      <c r="G529" s="23"/>
    </row>
    <row r="530">
      <c r="E530" s="3"/>
      <c r="F530" s="3"/>
      <c r="G530" s="23"/>
    </row>
    <row r="531">
      <c r="E531" s="3"/>
      <c r="F531" s="3"/>
      <c r="G531" s="23"/>
    </row>
    <row r="532">
      <c r="E532" s="3"/>
      <c r="F532" s="3"/>
      <c r="G532" s="23"/>
    </row>
    <row r="533">
      <c r="E533" s="3"/>
      <c r="F533" s="3"/>
      <c r="G533" s="23"/>
    </row>
    <row r="534">
      <c r="E534" s="3"/>
      <c r="F534" s="3"/>
      <c r="G534" s="23"/>
    </row>
    <row r="535">
      <c r="E535" s="3"/>
      <c r="F535" s="3"/>
      <c r="G535" s="23"/>
    </row>
    <row r="536">
      <c r="E536" s="3"/>
      <c r="F536" s="3"/>
      <c r="G536" s="23"/>
    </row>
    <row r="537">
      <c r="E537" s="3"/>
      <c r="F537" s="3"/>
      <c r="G537" s="23"/>
    </row>
    <row r="538">
      <c r="E538" s="3"/>
      <c r="F538" s="3"/>
      <c r="G538" s="23"/>
    </row>
    <row r="539">
      <c r="E539" s="3"/>
      <c r="F539" s="3"/>
      <c r="G539" s="23"/>
    </row>
    <row r="540">
      <c r="E540" s="3"/>
      <c r="F540" s="3"/>
      <c r="G540" s="23"/>
    </row>
    <row r="541">
      <c r="E541" s="3"/>
      <c r="F541" s="3"/>
      <c r="G541" s="23"/>
    </row>
    <row r="542">
      <c r="E542" s="3"/>
      <c r="F542" s="3"/>
      <c r="G542" s="23"/>
    </row>
    <row r="543">
      <c r="E543" s="3"/>
      <c r="F543" s="3"/>
      <c r="G543" s="23"/>
    </row>
    <row r="544">
      <c r="E544" s="3"/>
      <c r="F544" s="3"/>
      <c r="G544" s="23"/>
    </row>
    <row r="545">
      <c r="E545" s="3"/>
      <c r="F545" s="3"/>
      <c r="G545" s="23"/>
    </row>
    <row r="546">
      <c r="E546" s="3"/>
      <c r="F546" s="3"/>
      <c r="G546" s="23"/>
    </row>
    <row r="547">
      <c r="E547" s="3"/>
      <c r="F547" s="3"/>
      <c r="G547" s="23"/>
    </row>
    <row r="548">
      <c r="E548" s="3"/>
      <c r="F548" s="3"/>
      <c r="G548" s="23"/>
    </row>
    <row r="549">
      <c r="E549" s="3"/>
      <c r="F549" s="3"/>
      <c r="G549" s="23"/>
    </row>
    <row r="550">
      <c r="E550" s="3"/>
      <c r="F550" s="3"/>
      <c r="G550" s="23"/>
    </row>
    <row r="551">
      <c r="E551" s="3"/>
      <c r="F551" s="3"/>
      <c r="G551" s="23"/>
    </row>
    <row r="552">
      <c r="E552" s="3"/>
      <c r="F552" s="3"/>
      <c r="G552" s="23"/>
    </row>
    <row r="553">
      <c r="E553" s="3"/>
      <c r="F553" s="3"/>
      <c r="G553" s="23"/>
    </row>
    <row r="554">
      <c r="E554" s="3"/>
      <c r="F554" s="3"/>
      <c r="G554" s="23"/>
    </row>
    <row r="555">
      <c r="E555" s="3"/>
      <c r="F555" s="3"/>
      <c r="G555" s="23"/>
    </row>
    <row r="556">
      <c r="E556" s="3"/>
      <c r="F556" s="3"/>
      <c r="G556" s="23"/>
    </row>
    <row r="557">
      <c r="E557" s="3"/>
      <c r="F557" s="3"/>
      <c r="G557" s="23"/>
    </row>
    <row r="558">
      <c r="E558" s="3"/>
      <c r="F558" s="3"/>
      <c r="G558" s="23"/>
    </row>
    <row r="559">
      <c r="E559" s="3"/>
      <c r="F559" s="3"/>
      <c r="G559" s="23"/>
    </row>
    <row r="560">
      <c r="E560" s="3"/>
      <c r="F560" s="3"/>
      <c r="G560" s="23"/>
    </row>
    <row r="561">
      <c r="E561" s="3"/>
      <c r="F561" s="3"/>
      <c r="G561" s="23"/>
    </row>
    <row r="562">
      <c r="E562" s="3"/>
      <c r="F562" s="3"/>
      <c r="G562" s="23"/>
    </row>
    <row r="563">
      <c r="E563" s="3"/>
      <c r="F563" s="3"/>
      <c r="G563" s="23"/>
    </row>
    <row r="564">
      <c r="E564" s="3"/>
      <c r="F564" s="3"/>
      <c r="G564" s="23"/>
    </row>
    <row r="565">
      <c r="E565" s="3"/>
      <c r="F565" s="3"/>
      <c r="G565" s="23"/>
    </row>
    <row r="566">
      <c r="E566" s="3"/>
      <c r="F566" s="3"/>
      <c r="G566" s="23"/>
    </row>
    <row r="567">
      <c r="E567" s="3"/>
      <c r="F567" s="3"/>
      <c r="G567" s="23"/>
    </row>
    <row r="568">
      <c r="E568" s="3"/>
      <c r="F568" s="3"/>
      <c r="G568" s="23"/>
    </row>
    <row r="569">
      <c r="E569" s="3"/>
      <c r="F569" s="3"/>
      <c r="G569" s="23"/>
    </row>
    <row r="570">
      <c r="E570" s="3"/>
      <c r="F570" s="3"/>
      <c r="G570" s="23"/>
    </row>
    <row r="571">
      <c r="E571" s="3"/>
      <c r="F571" s="3"/>
      <c r="G571" s="23"/>
    </row>
    <row r="572">
      <c r="E572" s="3"/>
      <c r="F572" s="3"/>
      <c r="G572" s="23"/>
    </row>
    <row r="573">
      <c r="E573" s="3"/>
      <c r="F573" s="3"/>
      <c r="G573" s="23"/>
    </row>
    <row r="574">
      <c r="E574" s="3"/>
      <c r="F574" s="3"/>
      <c r="G574" s="23"/>
    </row>
    <row r="575">
      <c r="E575" s="3"/>
      <c r="F575" s="3"/>
      <c r="G575" s="23"/>
    </row>
    <row r="576">
      <c r="E576" s="3"/>
      <c r="F576" s="3"/>
      <c r="G576" s="23"/>
    </row>
    <row r="577">
      <c r="E577" s="3"/>
      <c r="F577" s="3"/>
      <c r="G577" s="23"/>
    </row>
    <row r="578">
      <c r="E578" s="3"/>
      <c r="F578" s="3"/>
      <c r="G578" s="23"/>
    </row>
    <row r="579">
      <c r="E579" s="3"/>
      <c r="F579" s="3"/>
      <c r="G579" s="23"/>
    </row>
    <row r="580">
      <c r="E580" s="3"/>
      <c r="F580" s="3"/>
      <c r="G580" s="23"/>
    </row>
    <row r="581">
      <c r="E581" s="3"/>
      <c r="F581" s="3"/>
      <c r="G581" s="23"/>
    </row>
    <row r="582">
      <c r="E582" s="3"/>
      <c r="F582" s="3"/>
      <c r="G582" s="23"/>
    </row>
    <row r="583">
      <c r="E583" s="3"/>
      <c r="F583" s="3"/>
      <c r="G583" s="23"/>
    </row>
    <row r="584">
      <c r="E584" s="3"/>
      <c r="F584" s="3"/>
      <c r="G584" s="23"/>
    </row>
    <row r="585">
      <c r="E585" s="3"/>
      <c r="F585" s="3"/>
      <c r="G585" s="23"/>
    </row>
    <row r="586">
      <c r="E586" s="3"/>
      <c r="F586" s="3"/>
      <c r="G586" s="23"/>
    </row>
    <row r="587">
      <c r="E587" s="3"/>
      <c r="F587" s="3"/>
      <c r="G587" s="23"/>
    </row>
    <row r="588">
      <c r="E588" s="3"/>
      <c r="F588" s="3"/>
      <c r="G588" s="23"/>
    </row>
    <row r="589">
      <c r="E589" s="3"/>
      <c r="F589" s="3"/>
      <c r="G589" s="23"/>
    </row>
    <row r="590">
      <c r="E590" s="3"/>
      <c r="F590" s="3"/>
      <c r="G590" s="23"/>
    </row>
    <row r="591">
      <c r="E591" s="3"/>
      <c r="F591" s="3"/>
      <c r="G591" s="23"/>
    </row>
    <row r="592">
      <c r="E592" s="3"/>
      <c r="F592" s="3"/>
      <c r="G592" s="23"/>
    </row>
    <row r="593">
      <c r="E593" s="3"/>
      <c r="F593" s="3"/>
      <c r="G593" s="23"/>
    </row>
    <row r="594">
      <c r="E594" s="3"/>
      <c r="F594" s="3"/>
      <c r="G594" s="23"/>
    </row>
    <row r="595">
      <c r="E595" s="3"/>
      <c r="F595" s="3"/>
      <c r="G595" s="23"/>
    </row>
    <row r="596">
      <c r="E596" s="3"/>
      <c r="F596" s="3"/>
      <c r="G596" s="23"/>
    </row>
    <row r="597">
      <c r="E597" s="3"/>
      <c r="F597" s="3"/>
      <c r="G597" s="23"/>
    </row>
    <row r="598">
      <c r="E598" s="3"/>
      <c r="F598" s="3"/>
      <c r="G598" s="23"/>
    </row>
    <row r="599">
      <c r="E599" s="3"/>
      <c r="F599" s="3"/>
      <c r="G599" s="23"/>
    </row>
    <row r="600">
      <c r="E600" s="3"/>
      <c r="F600" s="3"/>
      <c r="G600" s="23"/>
    </row>
    <row r="601">
      <c r="E601" s="3"/>
      <c r="F601" s="3"/>
      <c r="G601" s="23"/>
    </row>
    <row r="602">
      <c r="E602" s="3"/>
      <c r="F602" s="3"/>
      <c r="G602" s="23"/>
    </row>
    <row r="603">
      <c r="E603" s="3"/>
      <c r="F603" s="3"/>
      <c r="G603" s="23"/>
    </row>
    <row r="604">
      <c r="E604" s="3"/>
      <c r="F604" s="3"/>
      <c r="G604" s="23"/>
    </row>
    <row r="605">
      <c r="E605" s="3"/>
      <c r="F605" s="3"/>
      <c r="G605" s="23"/>
    </row>
    <row r="606">
      <c r="E606" s="3"/>
      <c r="F606" s="3"/>
      <c r="G606" s="23"/>
    </row>
    <row r="607">
      <c r="E607" s="3"/>
      <c r="F607" s="3"/>
      <c r="G607" s="23"/>
    </row>
    <row r="608">
      <c r="E608" s="3"/>
      <c r="F608" s="3"/>
      <c r="G608" s="23"/>
    </row>
    <row r="609">
      <c r="E609" s="3"/>
      <c r="F609" s="3"/>
      <c r="G609" s="23"/>
    </row>
    <row r="610">
      <c r="E610" s="3"/>
      <c r="F610" s="3"/>
      <c r="G610" s="23"/>
    </row>
    <row r="611">
      <c r="E611" s="3"/>
      <c r="F611" s="3"/>
      <c r="G611" s="23"/>
    </row>
    <row r="612">
      <c r="E612" s="3"/>
      <c r="F612" s="3"/>
      <c r="G612" s="23"/>
    </row>
    <row r="613">
      <c r="E613" s="3"/>
      <c r="F613" s="3"/>
      <c r="G613" s="23"/>
    </row>
    <row r="614">
      <c r="E614" s="3"/>
      <c r="F614" s="3"/>
      <c r="G614" s="23"/>
    </row>
    <row r="615">
      <c r="E615" s="3"/>
      <c r="F615" s="3"/>
      <c r="G615" s="23"/>
    </row>
    <row r="616">
      <c r="E616" s="3"/>
      <c r="F616" s="3"/>
      <c r="G616" s="23"/>
    </row>
    <row r="617">
      <c r="E617" s="3"/>
      <c r="F617" s="3"/>
      <c r="G617" s="23"/>
    </row>
    <row r="618">
      <c r="E618" s="3"/>
      <c r="F618" s="3"/>
      <c r="G618" s="23"/>
    </row>
    <row r="619">
      <c r="E619" s="3"/>
      <c r="F619" s="3"/>
      <c r="G619" s="23"/>
    </row>
    <row r="620">
      <c r="E620" s="3"/>
      <c r="F620" s="3"/>
      <c r="G620" s="23"/>
    </row>
    <row r="621">
      <c r="E621" s="3"/>
      <c r="F621" s="3"/>
      <c r="G621" s="23"/>
    </row>
    <row r="622">
      <c r="E622" s="3"/>
      <c r="F622" s="3"/>
      <c r="G622" s="23"/>
    </row>
    <row r="623">
      <c r="E623" s="3"/>
      <c r="F623" s="3"/>
      <c r="G623" s="23"/>
    </row>
    <row r="624">
      <c r="E624" s="3"/>
      <c r="F624" s="3"/>
      <c r="G624" s="23"/>
    </row>
    <row r="625">
      <c r="E625" s="3"/>
      <c r="F625" s="3"/>
      <c r="G625" s="23"/>
    </row>
    <row r="626">
      <c r="E626" s="3"/>
      <c r="F626" s="3"/>
      <c r="G626" s="23"/>
    </row>
    <row r="627">
      <c r="E627" s="3"/>
      <c r="F627" s="3"/>
      <c r="G627" s="23"/>
    </row>
    <row r="628">
      <c r="E628" s="3"/>
      <c r="F628" s="3"/>
      <c r="G628" s="23"/>
    </row>
    <row r="629">
      <c r="E629" s="3"/>
      <c r="F629" s="3"/>
      <c r="G629" s="23"/>
    </row>
    <row r="630">
      <c r="E630" s="3"/>
      <c r="F630" s="3"/>
      <c r="G630" s="23"/>
    </row>
    <row r="631">
      <c r="E631" s="3"/>
      <c r="F631" s="3"/>
      <c r="G631" s="23"/>
    </row>
    <row r="632">
      <c r="E632" s="3"/>
      <c r="F632" s="3"/>
      <c r="G632" s="23"/>
    </row>
    <row r="633">
      <c r="E633" s="3"/>
      <c r="F633" s="3"/>
      <c r="G633" s="23"/>
    </row>
    <row r="634">
      <c r="E634" s="3"/>
      <c r="F634" s="3"/>
      <c r="G634" s="23"/>
    </row>
    <row r="635">
      <c r="E635" s="3"/>
      <c r="F635" s="3"/>
      <c r="G635" s="23"/>
    </row>
    <row r="636">
      <c r="E636" s="3"/>
      <c r="F636" s="3"/>
      <c r="G636" s="23"/>
    </row>
    <row r="637">
      <c r="E637" s="3"/>
      <c r="F637" s="3"/>
      <c r="G637" s="23"/>
    </row>
    <row r="638">
      <c r="E638" s="3"/>
      <c r="F638" s="3"/>
      <c r="G638" s="23"/>
    </row>
    <row r="639">
      <c r="E639" s="3"/>
      <c r="F639" s="3"/>
      <c r="G639" s="23"/>
    </row>
    <row r="640">
      <c r="E640" s="3"/>
      <c r="F640" s="3"/>
      <c r="G640" s="23"/>
    </row>
    <row r="641">
      <c r="E641" s="3"/>
      <c r="F641" s="3"/>
      <c r="G641" s="23"/>
    </row>
    <row r="642">
      <c r="E642" s="3"/>
      <c r="F642" s="3"/>
      <c r="G642" s="23"/>
    </row>
    <row r="643">
      <c r="E643" s="3"/>
      <c r="F643" s="3"/>
      <c r="G643" s="23"/>
    </row>
    <row r="644">
      <c r="E644" s="3"/>
      <c r="F644" s="3"/>
      <c r="G644" s="23"/>
    </row>
    <row r="645">
      <c r="E645" s="3"/>
      <c r="F645" s="3"/>
      <c r="G645" s="23"/>
    </row>
    <row r="646">
      <c r="E646" s="3"/>
      <c r="F646" s="3"/>
      <c r="G646" s="23"/>
    </row>
    <row r="647">
      <c r="E647" s="3"/>
      <c r="F647" s="3"/>
      <c r="G647" s="23"/>
    </row>
    <row r="648">
      <c r="E648" s="3"/>
      <c r="F648" s="3"/>
      <c r="G648" s="23"/>
    </row>
    <row r="649">
      <c r="E649" s="3"/>
      <c r="F649" s="3"/>
      <c r="G649" s="23"/>
    </row>
    <row r="650">
      <c r="E650" s="3"/>
      <c r="F650" s="3"/>
      <c r="G650" s="23"/>
    </row>
    <row r="651">
      <c r="E651" s="3"/>
      <c r="F651" s="3"/>
      <c r="G651" s="23"/>
    </row>
    <row r="652">
      <c r="E652" s="3"/>
      <c r="F652" s="3"/>
      <c r="G652" s="23"/>
    </row>
    <row r="653">
      <c r="E653" s="3"/>
      <c r="F653" s="3"/>
      <c r="G653" s="23"/>
    </row>
    <row r="654">
      <c r="E654" s="3"/>
      <c r="F654" s="3"/>
      <c r="G654" s="23"/>
    </row>
    <row r="655">
      <c r="E655" s="3"/>
      <c r="F655" s="3"/>
      <c r="G655" s="23"/>
    </row>
    <row r="656">
      <c r="E656" s="3"/>
      <c r="F656" s="3"/>
      <c r="G656" s="23"/>
    </row>
    <row r="657">
      <c r="E657" s="3"/>
      <c r="F657" s="3"/>
      <c r="G657" s="23"/>
    </row>
    <row r="658">
      <c r="E658" s="3"/>
      <c r="F658" s="3"/>
      <c r="G658" s="23"/>
    </row>
    <row r="659">
      <c r="E659" s="3"/>
      <c r="F659" s="3"/>
      <c r="G659" s="23"/>
    </row>
    <row r="660">
      <c r="E660" s="3"/>
      <c r="F660" s="3"/>
      <c r="G660" s="23"/>
    </row>
    <row r="661">
      <c r="E661" s="3"/>
      <c r="F661" s="3"/>
      <c r="G661" s="23"/>
    </row>
    <row r="662">
      <c r="E662" s="3"/>
      <c r="F662" s="3"/>
      <c r="G662" s="23"/>
    </row>
    <row r="663">
      <c r="E663" s="3"/>
      <c r="F663" s="3"/>
      <c r="G663" s="23"/>
    </row>
    <row r="664">
      <c r="E664" s="3"/>
      <c r="F664" s="3"/>
      <c r="G664" s="23"/>
    </row>
    <row r="665">
      <c r="E665" s="3"/>
      <c r="F665" s="3"/>
      <c r="G665" s="23"/>
    </row>
    <row r="666">
      <c r="E666" s="3"/>
      <c r="F666" s="3"/>
      <c r="G666" s="23"/>
    </row>
    <row r="667">
      <c r="E667" s="3"/>
      <c r="F667" s="3"/>
      <c r="G667" s="23"/>
    </row>
    <row r="668">
      <c r="E668" s="3"/>
      <c r="F668" s="3"/>
      <c r="G668" s="23"/>
    </row>
    <row r="669">
      <c r="E669" s="3"/>
      <c r="F669" s="3"/>
      <c r="G669" s="23"/>
    </row>
    <row r="670">
      <c r="E670" s="3"/>
      <c r="F670" s="3"/>
      <c r="G670" s="23"/>
    </row>
    <row r="671">
      <c r="E671" s="3"/>
      <c r="F671" s="3"/>
      <c r="G671" s="23"/>
    </row>
    <row r="672">
      <c r="E672" s="3"/>
      <c r="F672" s="3"/>
      <c r="G672" s="23"/>
    </row>
    <row r="673">
      <c r="E673" s="3"/>
      <c r="F673" s="3"/>
      <c r="G673" s="23"/>
    </row>
    <row r="674">
      <c r="E674" s="3"/>
      <c r="F674" s="3"/>
      <c r="G674" s="23"/>
    </row>
    <row r="675">
      <c r="E675" s="3"/>
      <c r="F675" s="3"/>
      <c r="G675" s="23"/>
    </row>
    <row r="676">
      <c r="E676" s="3"/>
      <c r="F676" s="3"/>
      <c r="G676" s="23"/>
    </row>
    <row r="677">
      <c r="E677" s="3"/>
      <c r="F677" s="3"/>
      <c r="G677" s="23"/>
    </row>
    <row r="678">
      <c r="E678" s="3"/>
      <c r="F678" s="3"/>
      <c r="G678" s="23"/>
    </row>
    <row r="679">
      <c r="E679" s="3"/>
      <c r="F679" s="3"/>
      <c r="G679" s="23"/>
    </row>
    <row r="680">
      <c r="E680" s="3"/>
      <c r="F680" s="3"/>
      <c r="G680" s="23"/>
    </row>
    <row r="681">
      <c r="E681" s="3"/>
      <c r="F681" s="3"/>
      <c r="G681" s="23"/>
    </row>
    <row r="682">
      <c r="E682" s="3"/>
      <c r="F682" s="3"/>
      <c r="G682" s="23"/>
    </row>
    <row r="683">
      <c r="E683" s="3"/>
      <c r="F683" s="3"/>
      <c r="G683" s="23"/>
    </row>
    <row r="684">
      <c r="E684" s="3"/>
      <c r="F684" s="3"/>
      <c r="G684" s="23"/>
    </row>
    <row r="685">
      <c r="E685" s="3"/>
      <c r="F685" s="3"/>
      <c r="G685" s="23"/>
    </row>
    <row r="686">
      <c r="E686" s="3"/>
      <c r="F686" s="3"/>
      <c r="G686" s="23"/>
    </row>
    <row r="687">
      <c r="E687" s="3"/>
      <c r="F687" s="3"/>
      <c r="G687" s="23"/>
    </row>
    <row r="688">
      <c r="E688" s="3"/>
      <c r="F688" s="3"/>
      <c r="G688" s="23"/>
    </row>
    <row r="689">
      <c r="E689" s="3"/>
      <c r="F689" s="3"/>
      <c r="G689" s="23"/>
    </row>
    <row r="690">
      <c r="E690" s="3"/>
      <c r="F690" s="3"/>
      <c r="G690" s="23"/>
    </row>
    <row r="691">
      <c r="E691" s="3"/>
      <c r="F691" s="3"/>
      <c r="G691" s="23"/>
    </row>
    <row r="692">
      <c r="E692" s="3"/>
      <c r="F692" s="3"/>
      <c r="G692" s="23"/>
    </row>
    <row r="693">
      <c r="E693" s="3"/>
      <c r="F693" s="3"/>
      <c r="G693" s="23"/>
    </row>
    <row r="694">
      <c r="E694" s="3"/>
      <c r="F694" s="3"/>
      <c r="G694" s="23"/>
    </row>
    <row r="695">
      <c r="E695" s="3"/>
      <c r="F695" s="3"/>
      <c r="G695" s="23"/>
    </row>
    <row r="696">
      <c r="E696" s="3"/>
      <c r="F696" s="3"/>
      <c r="G696" s="23"/>
    </row>
    <row r="697">
      <c r="E697" s="3"/>
      <c r="F697" s="3"/>
      <c r="G697" s="23"/>
    </row>
    <row r="698">
      <c r="E698" s="3"/>
      <c r="F698" s="3"/>
      <c r="G698" s="23"/>
    </row>
    <row r="699">
      <c r="E699" s="3"/>
      <c r="F699" s="3"/>
      <c r="G699" s="23"/>
    </row>
    <row r="700">
      <c r="E700" s="3"/>
      <c r="F700" s="3"/>
      <c r="G700" s="23"/>
    </row>
    <row r="701">
      <c r="E701" s="3"/>
      <c r="F701" s="3"/>
      <c r="G701" s="23"/>
    </row>
    <row r="702">
      <c r="E702" s="3"/>
      <c r="F702" s="3"/>
      <c r="G702" s="23"/>
    </row>
    <row r="703">
      <c r="E703" s="3"/>
      <c r="F703" s="3"/>
      <c r="G703" s="23"/>
    </row>
    <row r="704">
      <c r="E704" s="3"/>
      <c r="F704" s="3"/>
      <c r="G704" s="23"/>
    </row>
    <row r="705">
      <c r="E705" s="3"/>
      <c r="F705" s="3"/>
      <c r="G705" s="23"/>
    </row>
    <row r="706">
      <c r="E706" s="3"/>
      <c r="F706" s="3"/>
      <c r="G706" s="23"/>
    </row>
    <row r="707">
      <c r="E707" s="3"/>
      <c r="F707" s="3"/>
      <c r="G707" s="23"/>
    </row>
    <row r="708">
      <c r="E708" s="3"/>
      <c r="F708" s="3"/>
      <c r="G708" s="23"/>
    </row>
    <row r="709">
      <c r="E709" s="3"/>
      <c r="F709" s="3"/>
      <c r="G709" s="23"/>
    </row>
    <row r="710">
      <c r="E710" s="3"/>
      <c r="F710" s="3"/>
      <c r="G710" s="23"/>
    </row>
    <row r="711">
      <c r="E711" s="3"/>
      <c r="F711" s="3"/>
      <c r="G711" s="23"/>
    </row>
    <row r="712">
      <c r="E712" s="3"/>
      <c r="F712" s="3"/>
      <c r="G712" s="23"/>
    </row>
    <row r="713">
      <c r="E713" s="3"/>
      <c r="F713" s="3"/>
      <c r="G713" s="23"/>
    </row>
    <row r="714">
      <c r="E714" s="3"/>
      <c r="F714" s="3"/>
      <c r="G714" s="23"/>
    </row>
    <row r="715">
      <c r="E715" s="3"/>
      <c r="F715" s="3"/>
      <c r="G715" s="23"/>
    </row>
    <row r="716">
      <c r="E716" s="3"/>
      <c r="F716" s="3"/>
      <c r="G716" s="23"/>
    </row>
    <row r="717">
      <c r="E717" s="3"/>
      <c r="F717" s="3"/>
      <c r="G717" s="23"/>
    </row>
    <row r="718">
      <c r="E718" s="3"/>
      <c r="F718" s="3"/>
      <c r="G718" s="23"/>
    </row>
    <row r="719">
      <c r="E719" s="3"/>
      <c r="F719" s="3"/>
      <c r="G719" s="23"/>
    </row>
    <row r="720">
      <c r="E720" s="3"/>
      <c r="F720" s="3"/>
      <c r="G720" s="23"/>
    </row>
    <row r="721">
      <c r="E721" s="3"/>
      <c r="F721" s="3"/>
      <c r="G721" s="23"/>
    </row>
    <row r="722">
      <c r="E722" s="3"/>
      <c r="F722" s="3"/>
      <c r="G722" s="23"/>
    </row>
    <row r="723">
      <c r="E723" s="3"/>
      <c r="F723" s="3"/>
      <c r="G723" s="23"/>
    </row>
    <row r="724">
      <c r="E724" s="3"/>
      <c r="F724" s="3"/>
      <c r="G724" s="23"/>
    </row>
    <row r="725">
      <c r="E725" s="3"/>
      <c r="F725" s="3"/>
      <c r="G725" s="23"/>
    </row>
    <row r="726">
      <c r="E726" s="3"/>
      <c r="F726" s="3"/>
      <c r="G726" s="23"/>
    </row>
    <row r="727">
      <c r="E727" s="3"/>
      <c r="F727" s="3"/>
      <c r="G727" s="23"/>
    </row>
    <row r="728">
      <c r="E728" s="3"/>
      <c r="F728" s="3"/>
      <c r="G728" s="23"/>
    </row>
    <row r="729">
      <c r="E729" s="3"/>
      <c r="F729" s="3"/>
      <c r="G729" s="23"/>
    </row>
    <row r="730">
      <c r="E730" s="3"/>
      <c r="F730" s="3"/>
      <c r="G730" s="23"/>
    </row>
    <row r="731">
      <c r="E731" s="3"/>
      <c r="F731" s="3"/>
      <c r="G731" s="23"/>
    </row>
    <row r="732">
      <c r="E732" s="3"/>
      <c r="F732" s="3"/>
      <c r="G732" s="23"/>
    </row>
    <row r="733">
      <c r="E733" s="3"/>
      <c r="F733" s="3"/>
      <c r="G733" s="23"/>
    </row>
    <row r="734">
      <c r="E734" s="3"/>
      <c r="F734" s="3"/>
      <c r="G734" s="23"/>
    </row>
    <row r="735">
      <c r="E735" s="3"/>
      <c r="F735" s="3"/>
      <c r="G735" s="23"/>
    </row>
    <row r="736">
      <c r="E736" s="3"/>
      <c r="F736" s="3"/>
      <c r="G736" s="23"/>
    </row>
    <row r="737">
      <c r="E737" s="3"/>
      <c r="F737" s="3"/>
      <c r="G737" s="23"/>
    </row>
    <row r="738">
      <c r="E738" s="3"/>
      <c r="F738" s="3"/>
      <c r="G738" s="23"/>
    </row>
    <row r="739">
      <c r="E739" s="3"/>
      <c r="F739" s="3"/>
      <c r="G739" s="23"/>
    </row>
    <row r="740">
      <c r="E740" s="3"/>
      <c r="F740" s="3"/>
      <c r="G740" s="23"/>
    </row>
    <row r="741">
      <c r="E741" s="3"/>
      <c r="F741" s="3"/>
      <c r="G741" s="23"/>
    </row>
    <row r="742">
      <c r="E742" s="3"/>
      <c r="F742" s="3"/>
      <c r="G742" s="23"/>
    </row>
    <row r="743">
      <c r="E743" s="3"/>
      <c r="F743" s="3"/>
      <c r="G743" s="23"/>
    </row>
    <row r="744">
      <c r="E744" s="3"/>
      <c r="F744" s="3"/>
      <c r="G744" s="23"/>
    </row>
    <row r="745">
      <c r="E745" s="3"/>
      <c r="F745" s="3"/>
      <c r="G745" s="23"/>
    </row>
    <row r="746">
      <c r="E746" s="3"/>
      <c r="F746" s="3"/>
      <c r="G746" s="23"/>
    </row>
    <row r="747">
      <c r="E747" s="3"/>
      <c r="F747" s="3"/>
      <c r="G747" s="23"/>
    </row>
    <row r="748">
      <c r="E748" s="3"/>
      <c r="F748" s="3"/>
      <c r="G748" s="23"/>
    </row>
    <row r="749">
      <c r="E749" s="3"/>
      <c r="F749" s="3"/>
      <c r="G749" s="23"/>
    </row>
    <row r="750">
      <c r="E750" s="3"/>
      <c r="F750" s="3"/>
      <c r="G750" s="23"/>
    </row>
    <row r="751">
      <c r="E751" s="3"/>
      <c r="F751" s="3"/>
      <c r="G751" s="23"/>
    </row>
    <row r="752">
      <c r="E752" s="3"/>
      <c r="F752" s="3"/>
      <c r="G752" s="23"/>
    </row>
    <row r="753">
      <c r="E753" s="3"/>
      <c r="F753" s="3"/>
      <c r="G753" s="23"/>
    </row>
    <row r="754">
      <c r="E754" s="3"/>
      <c r="F754" s="3"/>
      <c r="G754" s="23"/>
    </row>
    <row r="755">
      <c r="E755" s="3"/>
      <c r="F755" s="3"/>
      <c r="G755" s="23"/>
    </row>
    <row r="756">
      <c r="E756" s="3"/>
      <c r="F756" s="3"/>
      <c r="G756" s="23"/>
    </row>
    <row r="757">
      <c r="E757" s="3"/>
      <c r="F757" s="3"/>
      <c r="G757" s="23"/>
    </row>
    <row r="758">
      <c r="E758" s="3"/>
      <c r="F758" s="3"/>
      <c r="G758" s="23"/>
    </row>
    <row r="759">
      <c r="E759" s="3"/>
      <c r="F759" s="3"/>
      <c r="G759" s="23"/>
    </row>
    <row r="760">
      <c r="E760" s="3"/>
      <c r="F760" s="3"/>
      <c r="G760" s="23"/>
    </row>
    <row r="761">
      <c r="E761" s="3"/>
      <c r="F761" s="3"/>
      <c r="G761" s="23"/>
    </row>
    <row r="762">
      <c r="E762" s="3"/>
      <c r="F762" s="3"/>
      <c r="G762" s="23"/>
    </row>
    <row r="763">
      <c r="E763" s="3"/>
      <c r="F763" s="3"/>
      <c r="G763" s="23"/>
    </row>
    <row r="764">
      <c r="E764" s="3"/>
      <c r="F764" s="3"/>
      <c r="G764" s="23"/>
    </row>
    <row r="765">
      <c r="E765" s="3"/>
      <c r="F765" s="3"/>
      <c r="G765" s="23"/>
    </row>
    <row r="766">
      <c r="E766" s="3"/>
      <c r="F766" s="3"/>
      <c r="G766" s="23"/>
    </row>
    <row r="767">
      <c r="E767" s="3"/>
      <c r="F767" s="3"/>
      <c r="G767" s="23"/>
    </row>
    <row r="768">
      <c r="E768" s="3"/>
      <c r="F768" s="3"/>
      <c r="G768" s="23"/>
    </row>
    <row r="769">
      <c r="E769" s="3"/>
      <c r="F769" s="3"/>
      <c r="G769" s="23"/>
    </row>
    <row r="770">
      <c r="E770" s="3"/>
      <c r="F770" s="3"/>
      <c r="G770" s="23"/>
    </row>
    <row r="771">
      <c r="E771" s="3"/>
      <c r="F771" s="3"/>
      <c r="G771" s="23"/>
    </row>
    <row r="772">
      <c r="E772" s="3"/>
      <c r="F772" s="3"/>
      <c r="G772" s="23"/>
    </row>
    <row r="773">
      <c r="E773" s="3"/>
      <c r="F773" s="3"/>
      <c r="G773" s="23"/>
    </row>
    <row r="774">
      <c r="E774" s="3"/>
      <c r="F774" s="3"/>
      <c r="G774" s="23"/>
    </row>
    <row r="775">
      <c r="E775" s="3"/>
      <c r="F775" s="3"/>
      <c r="G775" s="23"/>
    </row>
    <row r="776">
      <c r="E776" s="3"/>
      <c r="F776" s="3"/>
      <c r="G776" s="23"/>
    </row>
    <row r="777">
      <c r="E777" s="3"/>
      <c r="F777" s="3"/>
      <c r="G777" s="23"/>
    </row>
    <row r="778">
      <c r="E778" s="3"/>
      <c r="F778" s="3"/>
      <c r="G778" s="23"/>
    </row>
    <row r="779">
      <c r="E779" s="3"/>
      <c r="F779" s="3"/>
      <c r="G779" s="23"/>
    </row>
    <row r="780">
      <c r="E780" s="3"/>
      <c r="F780" s="3"/>
      <c r="G780" s="23"/>
    </row>
    <row r="781">
      <c r="E781" s="3"/>
      <c r="F781" s="3"/>
      <c r="G781" s="23"/>
    </row>
    <row r="782">
      <c r="E782" s="3"/>
      <c r="F782" s="3"/>
      <c r="G782" s="23"/>
    </row>
    <row r="783">
      <c r="E783" s="3"/>
      <c r="F783" s="3"/>
      <c r="G783" s="23"/>
    </row>
    <row r="784">
      <c r="E784" s="3"/>
      <c r="F784" s="3"/>
      <c r="G784" s="23"/>
    </row>
    <row r="785">
      <c r="E785" s="3"/>
      <c r="F785" s="3"/>
      <c r="G785" s="23"/>
    </row>
    <row r="786">
      <c r="E786" s="3"/>
      <c r="F786" s="3"/>
      <c r="G786" s="23"/>
    </row>
    <row r="787">
      <c r="E787" s="3"/>
      <c r="F787" s="3"/>
      <c r="G787" s="23"/>
    </row>
    <row r="788">
      <c r="E788" s="3"/>
      <c r="F788" s="3"/>
      <c r="G788" s="23"/>
    </row>
    <row r="789">
      <c r="E789" s="3"/>
      <c r="F789" s="3"/>
      <c r="G789" s="23"/>
    </row>
    <row r="790">
      <c r="E790" s="3"/>
      <c r="F790" s="3"/>
      <c r="G790" s="23"/>
    </row>
    <row r="791">
      <c r="E791" s="3"/>
      <c r="F791" s="3"/>
      <c r="G791" s="23"/>
    </row>
    <row r="792">
      <c r="E792" s="3"/>
      <c r="F792" s="3"/>
      <c r="G792" s="23"/>
    </row>
    <row r="793">
      <c r="E793" s="3"/>
      <c r="F793" s="3"/>
      <c r="G793" s="23"/>
    </row>
    <row r="794">
      <c r="E794" s="3"/>
      <c r="F794" s="3"/>
      <c r="G794" s="23"/>
    </row>
    <row r="795">
      <c r="E795" s="3"/>
      <c r="F795" s="3"/>
      <c r="G795" s="23"/>
    </row>
    <row r="796">
      <c r="E796" s="3"/>
      <c r="F796" s="3"/>
      <c r="G796" s="23"/>
    </row>
    <row r="797">
      <c r="E797" s="3"/>
      <c r="F797" s="3"/>
      <c r="G797" s="23"/>
    </row>
    <row r="798">
      <c r="E798" s="3"/>
      <c r="F798" s="3"/>
      <c r="G798" s="23"/>
    </row>
    <row r="799">
      <c r="E799" s="3"/>
      <c r="F799" s="3"/>
      <c r="G799" s="23"/>
    </row>
    <row r="800">
      <c r="E800" s="3"/>
      <c r="F800" s="3"/>
      <c r="G800" s="23"/>
    </row>
    <row r="801">
      <c r="E801" s="3"/>
      <c r="F801" s="3"/>
      <c r="G801" s="23"/>
    </row>
    <row r="802">
      <c r="E802" s="3"/>
      <c r="F802" s="3"/>
      <c r="G802" s="23"/>
    </row>
    <row r="803">
      <c r="E803" s="3"/>
      <c r="F803" s="3"/>
      <c r="G803" s="23"/>
    </row>
    <row r="804">
      <c r="E804" s="3"/>
      <c r="F804" s="3"/>
      <c r="G804" s="23"/>
    </row>
    <row r="805">
      <c r="E805" s="3"/>
      <c r="F805" s="3"/>
      <c r="G805" s="23"/>
    </row>
    <row r="806">
      <c r="E806" s="3"/>
      <c r="F806" s="3"/>
      <c r="G806" s="23"/>
    </row>
    <row r="807">
      <c r="E807" s="3"/>
      <c r="F807" s="3"/>
      <c r="G807" s="23"/>
    </row>
    <row r="808">
      <c r="E808" s="3"/>
      <c r="F808" s="3"/>
      <c r="G808" s="23"/>
    </row>
    <row r="809">
      <c r="E809" s="3"/>
      <c r="F809" s="3"/>
      <c r="G809" s="23"/>
    </row>
    <row r="810">
      <c r="E810" s="3"/>
      <c r="F810" s="3"/>
      <c r="G810" s="23"/>
    </row>
    <row r="811">
      <c r="E811" s="3"/>
      <c r="F811" s="3"/>
      <c r="G811" s="23"/>
    </row>
    <row r="812">
      <c r="E812" s="3"/>
      <c r="F812" s="3"/>
      <c r="G812" s="23"/>
    </row>
    <row r="813">
      <c r="E813" s="3"/>
      <c r="F813" s="3"/>
      <c r="G813" s="23"/>
    </row>
    <row r="814">
      <c r="E814" s="3"/>
      <c r="F814" s="3"/>
      <c r="G814" s="23"/>
    </row>
    <row r="815">
      <c r="E815" s="3"/>
      <c r="F815" s="3"/>
      <c r="G815" s="23"/>
    </row>
    <row r="816">
      <c r="E816" s="3"/>
      <c r="F816" s="3"/>
      <c r="G816" s="23"/>
    </row>
    <row r="817">
      <c r="E817" s="3"/>
      <c r="F817" s="3"/>
      <c r="G817" s="23"/>
    </row>
    <row r="818">
      <c r="E818" s="3"/>
      <c r="F818" s="3"/>
      <c r="G818" s="23"/>
    </row>
    <row r="819">
      <c r="E819" s="3"/>
      <c r="F819" s="3"/>
      <c r="G819" s="23"/>
    </row>
    <row r="820">
      <c r="E820" s="3"/>
      <c r="F820" s="3"/>
      <c r="G820" s="23"/>
    </row>
    <row r="821">
      <c r="E821" s="3"/>
      <c r="F821" s="3"/>
      <c r="G821" s="23"/>
    </row>
    <row r="822">
      <c r="E822" s="3"/>
      <c r="F822" s="3"/>
      <c r="G822" s="23"/>
    </row>
    <row r="823">
      <c r="E823" s="3"/>
      <c r="F823" s="3"/>
      <c r="G823" s="23"/>
    </row>
    <row r="824">
      <c r="E824" s="3"/>
      <c r="F824" s="3"/>
      <c r="G824" s="23"/>
    </row>
    <row r="825">
      <c r="E825" s="3"/>
      <c r="F825" s="3"/>
      <c r="G825" s="23"/>
    </row>
    <row r="826">
      <c r="E826" s="3"/>
      <c r="F826" s="3"/>
      <c r="G826" s="23"/>
    </row>
    <row r="827">
      <c r="E827" s="3"/>
      <c r="F827" s="3"/>
      <c r="G827" s="23"/>
    </row>
    <row r="828">
      <c r="E828" s="3"/>
      <c r="F828" s="3"/>
      <c r="G828" s="23"/>
    </row>
    <row r="829">
      <c r="E829" s="3"/>
      <c r="F829" s="3"/>
      <c r="G829" s="23"/>
    </row>
    <row r="830">
      <c r="E830" s="3"/>
      <c r="F830" s="3"/>
      <c r="G830" s="23"/>
    </row>
    <row r="831">
      <c r="E831" s="3"/>
      <c r="F831" s="3"/>
      <c r="G831" s="23"/>
    </row>
    <row r="832">
      <c r="E832" s="3"/>
      <c r="F832" s="3"/>
      <c r="G832" s="23"/>
    </row>
    <row r="833">
      <c r="E833" s="3"/>
      <c r="F833" s="3"/>
      <c r="G833" s="23"/>
    </row>
    <row r="834">
      <c r="E834" s="3"/>
      <c r="F834" s="3"/>
      <c r="G834" s="23"/>
    </row>
    <row r="835">
      <c r="E835" s="3"/>
      <c r="F835" s="3"/>
      <c r="G835" s="23"/>
    </row>
    <row r="836">
      <c r="E836" s="3"/>
      <c r="F836" s="3"/>
      <c r="G836" s="23"/>
    </row>
    <row r="837">
      <c r="E837" s="3"/>
      <c r="F837" s="3"/>
      <c r="G837" s="23"/>
    </row>
    <row r="838">
      <c r="E838" s="3"/>
      <c r="F838" s="3"/>
      <c r="G838" s="23"/>
    </row>
    <row r="839">
      <c r="E839" s="3"/>
      <c r="F839" s="3"/>
      <c r="G839" s="23"/>
    </row>
    <row r="840">
      <c r="E840" s="3"/>
      <c r="F840" s="3"/>
      <c r="G840" s="23"/>
    </row>
    <row r="841">
      <c r="E841" s="3"/>
      <c r="F841" s="3"/>
      <c r="G841" s="23"/>
    </row>
    <row r="842">
      <c r="E842" s="3"/>
      <c r="F842" s="3"/>
      <c r="G842" s="23"/>
    </row>
    <row r="843">
      <c r="E843" s="3"/>
      <c r="F843" s="3"/>
      <c r="G843" s="23"/>
    </row>
    <row r="844">
      <c r="E844" s="3"/>
      <c r="F844" s="3"/>
      <c r="G844" s="23"/>
    </row>
    <row r="845">
      <c r="E845" s="3"/>
      <c r="F845" s="3"/>
      <c r="G845" s="23"/>
    </row>
    <row r="846">
      <c r="E846" s="3"/>
      <c r="F846" s="3"/>
      <c r="G846" s="23"/>
    </row>
    <row r="847">
      <c r="E847" s="3"/>
      <c r="F847" s="3"/>
      <c r="G847" s="23"/>
    </row>
    <row r="848">
      <c r="E848" s="3"/>
      <c r="F848" s="3"/>
      <c r="G848" s="23"/>
    </row>
    <row r="849">
      <c r="E849" s="3"/>
      <c r="F849" s="3"/>
      <c r="G849" s="23"/>
    </row>
    <row r="850">
      <c r="E850" s="3"/>
      <c r="F850" s="3"/>
      <c r="G850" s="23"/>
    </row>
    <row r="851">
      <c r="E851" s="3"/>
      <c r="F851" s="3"/>
      <c r="G851" s="23"/>
    </row>
    <row r="852">
      <c r="E852" s="3"/>
      <c r="F852" s="3"/>
      <c r="G852" s="23"/>
    </row>
    <row r="853">
      <c r="E853" s="3"/>
      <c r="F853" s="3"/>
      <c r="G853" s="23"/>
    </row>
    <row r="854">
      <c r="E854" s="3"/>
      <c r="F854" s="3"/>
      <c r="G854" s="23"/>
    </row>
    <row r="855">
      <c r="E855" s="3"/>
      <c r="F855" s="3"/>
      <c r="G855" s="23"/>
    </row>
    <row r="856">
      <c r="E856" s="3"/>
      <c r="F856" s="3"/>
      <c r="G856" s="23"/>
    </row>
    <row r="857">
      <c r="E857" s="3"/>
      <c r="F857" s="3"/>
      <c r="G857" s="23"/>
    </row>
    <row r="858">
      <c r="E858" s="3"/>
      <c r="F858" s="3"/>
      <c r="G858" s="23"/>
    </row>
    <row r="859">
      <c r="E859" s="3"/>
      <c r="F859" s="3"/>
      <c r="G859" s="23"/>
    </row>
    <row r="860">
      <c r="E860" s="3"/>
      <c r="F860" s="3"/>
      <c r="G860" s="23"/>
    </row>
    <row r="861">
      <c r="E861" s="3"/>
      <c r="F861" s="3"/>
      <c r="G861" s="23"/>
    </row>
    <row r="862">
      <c r="E862" s="3"/>
      <c r="F862" s="3"/>
      <c r="G862" s="23"/>
    </row>
    <row r="863">
      <c r="E863" s="3"/>
      <c r="F863" s="3"/>
      <c r="G863" s="23"/>
    </row>
    <row r="864">
      <c r="E864" s="3"/>
      <c r="F864" s="3"/>
      <c r="G864" s="23"/>
    </row>
    <row r="865">
      <c r="E865" s="3"/>
      <c r="F865" s="3"/>
      <c r="G865" s="23"/>
    </row>
    <row r="866">
      <c r="E866" s="3"/>
      <c r="F866" s="3"/>
      <c r="G866" s="23"/>
    </row>
    <row r="867">
      <c r="E867" s="3"/>
      <c r="F867" s="3"/>
      <c r="G867" s="23"/>
    </row>
    <row r="868">
      <c r="E868" s="3"/>
      <c r="F868" s="3"/>
      <c r="G868" s="23"/>
    </row>
    <row r="869">
      <c r="E869" s="3"/>
      <c r="F869" s="3"/>
      <c r="G869" s="23"/>
    </row>
    <row r="870">
      <c r="E870" s="3"/>
      <c r="F870" s="3"/>
      <c r="G870" s="23"/>
    </row>
    <row r="871">
      <c r="E871" s="3"/>
      <c r="F871" s="3"/>
      <c r="G871" s="23"/>
    </row>
    <row r="872">
      <c r="E872" s="3"/>
      <c r="F872" s="3"/>
      <c r="G872" s="23"/>
    </row>
    <row r="873">
      <c r="E873" s="3"/>
      <c r="F873" s="3"/>
      <c r="G873" s="23"/>
    </row>
    <row r="874">
      <c r="E874" s="3"/>
      <c r="F874" s="3"/>
      <c r="G874" s="23"/>
    </row>
    <row r="875">
      <c r="E875" s="3"/>
      <c r="F875" s="3"/>
      <c r="G875" s="23"/>
    </row>
    <row r="876">
      <c r="E876" s="3"/>
      <c r="F876" s="3"/>
      <c r="G876" s="23"/>
    </row>
    <row r="877">
      <c r="E877" s="3"/>
      <c r="F877" s="3"/>
      <c r="G877" s="23"/>
    </row>
    <row r="878">
      <c r="E878" s="3"/>
      <c r="F878" s="3"/>
      <c r="G878" s="23"/>
    </row>
    <row r="879">
      <c r="E879" s="3"/>
      <c r="F879" s="3"/>
      <c r="G879" s="23"/>
    </row>
    <row r="880">
      <c r="E880" s="3"/>
      <c r="F880" s="3"/>
      <c r="G880" s="23"/>
    </row>
    <row r="881">
      <c r="E881" s="3"/>
      <c r="F881" s="3"/>
      <c r="G881" s="23"/>
    </row>
    <row r="882">
      <c r="E882" s="3"/>
      <c r="F882" s="3"/>
      <c r="G882" s="23"/>
    </row>
    <row r="883">
      <c r="E883" s="3"/>
      <c r="F883" s="3"/>
      <c r="G883" s="23"/>
    </row>
    <row r="884">
      <c r="E884" s="3"/>
      <c r="F884" s="3"/>
      <c r="G884" s="23"/>
    </row>
    <row r="885">
      <c r="E885" s="3"/>
      <c r="F885" s="3"/>
      <c r="G885" s="23"/>
    </row>
    <row r="886">
      <c r="E886" s="3"/>
      <c r="F886" s="3"/>
      <c r="G886" s="23"/>
    </row>
    <row r="887">
      <c r="E887" s="3"/>
      <c r="F887" s="3"/>
      <c r="G887" s="23"/>
    </row>
    <row r="888">
      <c r="E888" s="3"/>
      <c r="F888" s="3"/>
      <c r="G888" s="23"/>
    </row>
    <row r="889">
      <c r="E889" s="3"/>
      <c r="F889" s="3"/>
      <c r="G889" s="23"/>
    </row>
    <row r="890">
      <c r="E890" s="3"/>
      <c r="F890" s="3"/>
      <c r="G890" s="23"/>
    </row>
    <row r="891">
      <c r="E891" s="3"/>
      <c r="F891" s="3"/>
      <c r="G891" s="23"/>
    </row>
    <row r="892">
      <c r="E892" s="3"/>
      <c r="F892" s="3"/>
      <c r="G892" s="23"/>
    </row>
    <row r="893">
      <c r="E893" s="3"/>
      <c r="F893" s="3"/>
      <c r="G893" s="23"/>
    </row>
    <row r="894">
      <c r="E894" s="3"/>
      <c r="F894" s="3"/>
      <c r="G894" s="23"/>
    </row>
    <row r="895">
      <c r="E895" s="3"/>
      <c r="F895" s="3"/>
      <c r="G895" s="23"/>
    </row>
    <row r="896">
      <c r="E896" s="3"/>
      <c r="F896" s="3"/>
      <c r="G896" s="23"/>
    </row>
    <row r="897">
      <c r="E897" s="3"/>
      <c r="F897" s="3"/>
      <c r="G897" s="23"/>
    </row>
    <row r="898">
      <c r="E898" s="3"/>
      <c r="F898" s="3"/>
      <c r="G898" s="23"/>
    </row>
    <row r="899">
      <c r="E899" s="3"/>
      <c r="F899" s="3"/>
      <c r="G899" s="23"/>
    </row>
    <row r="900">
      <c r="E900" s="3"/>
      <c r="F900" s="3"/>
      <c r="G900" s="23"/>
    </row>
    <row r="901">
      <c r="E901" s="3"/>
      <c r="F901" s="3"/>
      <c r="G901" s="23"/>
    </row>
    <row r="902">
      <c r="E902" s="3"/>
      <c r="F902" s="3"/>
      <c r="G902" s="23"/>
    </row>
    <row r="903">
      <c r="E903" s="3"/>
      <c r="F903" s="3"/>
      <c r="G903" s="23"/>
    </row>
    <row r="904">
      <c r="E904" s="3"/>
      <c r="F904" s="3"/>
      <c r="G904" s="23"/>
    </row>
    <row r="905">
      <c r="E905" s="3"/>
      <c r="F905" s="3"/>
      <c r="G905" s="23"/>
    </row>
    <row r="906">
      <c r="E906" s="3"/>
      <c r="F906" s="3"/>
      <c r="G906" s="23"/>
    </row>
    <row r="907">
      <c r="E907" s="3"/>
      <c r="F907" s="3"/>
      <c r="G907" s="23"/>
    </row>
    <row r="908">
      <c r="E908" s="3"/>
      <c r="F908" s="3"/>
      <c r="G908" s="23"/>
    </row>
    <row r="909">
      <c r="E909" s="3"/>
      <c r="F909" s="3"/>
      <c r="G909" s="23"/>
    </row>
    <row r="910">
      <c r="E910" s="3"/>
      <c r="F910" s="3"/>
      <c r="G910" s="23"/>
    </row>
    <row r="911">
      <c r="E911" s="3"/>
      <c r="F911" s="3"/>
      <c r="G911" s="23"/>
    </row>
    <row r="912">
      <c r="E912" s="3"/>
      <c r="F912" s="3"/>
      <c r="G912" s="23"/>
    </row>
    <row r="913">
      <c r="E913" s="3"/>
      <c r="F913" s="3"/>
      <c r="G913" s="23"/>
    </row>
    <row r="914">
      <c r="E914" s="3"/>
      <c r="F914" s="3"/>
      <c r="G914" s="23"/>
    </row>
    <row r="915">
      <c r="E915" s="3"/>
      <c r="F915" s="3"/>
      <c r="G915" s="23"/>
    </row>
    <row r="916">
      <c r="E916" s="3"/>
      <c r="F916" s="3"/>
      <c r="G916" s="23"/>
    </row>
    <row r="917">
      <c r="E917" s="3"/>
      <c r="F917" s="3"/>
      <c r="G917" s="23"/>
    </row>
    <row r="918">
      <c r="E918" s="3"/>
      <c r="F918" s="3"/>
      <c r="G918" s="23"/>
    </row>
    <row r="919">
      <c r="E919" s="3"/>
      <c r="F919" s="3"/>
      <c r="G919" s="23"/>
    </row>
    <row r="920">
      <c r="E920" s="3"/>
      <c r="F920" s="3"/>
      <c r="G920" s="23"/>
    </row>
    <row r="921">
      <c r="E921" s="3"/>
      <c r="F921" s="3"/>
      <c r="G921" s="23"/>
    </row>
    <row r="922">
      <c r="E922" s="3"/>
      <c r="F922" s="3"/>
      <c r="G922" s="23"/>
    </row>
    <row r="923">
      <c r="E923" s="3"/>
      <c r="F923" s="3"/>
      <c r="G923" s="23"/>
    </row>
    <row r="924">
      <c r="E924" s="3"/>
      <c r="F924" s="3"/>
      <c r="G924" s="23"/>
    </row>
    <row r="925">
      <c r="E925" s="3"/>
      <c r="F925" s="3"/>
      <c r="G925" s="23"/>
    </row>
    <row r="926">
      <c r="E926" s="3"/>
      <c r="F926" s="3"/>
      <c r="G926" s="23"/>
    </row>
    <row r="927">
      <c r="E927" s="3"/>
      <c r="F927" s="3"/>
      <c r="G927" s="23"/>
    </row>
    <row r="928">
      <c r="E928" s="3"/>
      <c r="F928" s="3"/>
      <c r="G928" s="23"/>
    </row>
    <row r="929">
      <c r="E929" s="3"/>
      <c r="F929" s="3"/>
      <c r="G929" s="23"/>
    </row>
    <row r="930">
      <c r="E930" s="3"/>
      <c r="F930" s="3"/>
      <c r="G930" s="23"/>
    </row>
    <row r="931">
      <c r="E931" s="3"/>
      <c r="F931" s="3"/>
      <c r="G931" s="23"/>
    </row>
    <row r="932">
      <c r="E932" s="3"/>
      <c r="F932" s="3"/>
      <c r="G932" s="23"/>
    </row>
    <row r="933">
      <c r="E933" s="3"/>
      <c r="F933" s="3"/>
      <c r="G933" s="23"/>
    </row>
    <row r="934">
      <c r="E934" s="3"/>
      <c r="F934" s="3"/>
      <c r="G934" s="23"/>
    </row>
    <row r="935">
      <c r="E935" s="3"/>
      <c r="F935" s="3"/>
      <c r="G935" s="23"/>
    </row>
    <row r="936">
      <c r="E936" s="3"/>
      <c r="F936" s="3"/>
      <c r="G936" s="23"/>
    </row>
    <row r="937">
      <c r="E937" s="3"/>
      <c r="F937" s="3"/>
      <c r="G937" s="23"/>
    </row>
    <row r="938">
      <c r="E938" s="3"/>
      <c r="F938" s="3"/>
      <c r="G938" s="23"/>
    </row>
    <row r="939">
      <c r="E939" s="3"/>
      <c r="F939" s="3"/>
      <c r="G939" s="23"/>
    </row>
    <row r="940">
      <c r="E940" s="3"/>
      <c r="F940" s="3"/>
      <c r="G940" s="23"/>
    </row>
    <row r="941">
      <c r="E941" s="3"/>
      <c r="F941" s="3"/>
      <c r="G941" s="23"/>
    </row>
    <row r="942">
      <c r="E942" s="3"/>
      <c r="F942" s="3"/>
      <c r="G942" s="23"/>
    </row>
    <row r="943">
      <c r="E943" s="3"/>
      <c r="F943" s="3"/>
      <c r="G943" s="23"/>
    </row>
    <row r="944">
      <c r="E944" s="3"/>
      <c r="F944" s="3"/>
      <c r="G944" s="23"/>
    </row>
    <row r="945">
      <c r="E945" s="3"/>
      <c r="F945" s="3"/>
      <c r="G945" s="23"/>
    </row>
    <row r="946">
      <c r="E946" s="3"/>
      <c r="F946" s="3"/>
      <c r="G946" s="23"/>
    </row>
    <row r="947">
      <c r="E947" s="3"/>
      <c r="F947" s="3"/>
      <c r="G947" s="23"/>
    </row>
    <row r="948">
      <c r="E948" s="3"/>
      <c r="F948" s="3"/>
      <c r="G948" s="23"/>
    </row>
    <row r="949">
      <c r="E949" s="3"/>
      <c r="F949" s="3"/>
      <c r="G949" s="23"/>
    </row>
    <row r="950">
      <c r="E950" s="3"/>
      <c r="F950" s="3"/>
      <c r="G950" s="23"/>
    </row>
    <row r="951">
      <c r="E951" s="3"/>
      <c r="F951" s="3"/>
      <c r="G951" s="23"/>
    </row>
    <row r="952">
      <c r="E952" s="3"/>
      <c r="F952" s="3"/>
      <c r="G952" s="23"/>
    </row>
    <row r="953">
      <c r="E953" s="3"/>
      <c r="F953" s="3"/>
      <c r="G953" s="23"/>
    </row>
    <row r="954">
      <c r="E954" s="3"/>
      <c r="F954" s="3"/>
      <c r="G954" s="23"/>
    </row>
    <row r="955">
      <c r="E955" s="3"/>
      <c r="F955" s="3"/>
      <c r="G955" s="23"/>
    </row>
    <row r="956">
      <c r="E956" s="3"/>
      <c r="F956" s="3"/>
      <c r="G956" s="23"/>
    </row>
    <row r="957">
      <c r="E957" s="3"/>
      <c r="F957" s="3"/>
      <c r="G957" s="23"/>
    </row>
    <row r="958">
      <c r="E958" s="3"/>
      <c r="F958" s="3"/>
      <c r="G958" s="23"/>
    </row>
    <row r="959">
      <c r="E959" s="3"/>
      <c r="F959" s="3"/>
      <c r="G959" s="23"/>
    </row>
    <row r="960">
      <c r="E960" s="3"/>
      <c r="F960" s="3"/>
      <c r="G960" s="23"/>
    </row>
    <row r="961">
      <c r="E961" s="3"/>
      <c r="F961" s="3"/>
      <c r="G961" s="23"/>
    </row>
    <row r="962">
      <c r="E962" s="3"/>
      <c r="F962" s="3"/>
      <c r="G962" s="23"/>
    </row>
    <row r="963">
      <c r="E963" s="3"/>
      <c r="F963" s="3"/>
      <c r="G963" s="23"/>
    </row>
    <row r="964">
      <c r="E964" s="3"/>
      <c r="F964" s="3"/>
      <c r="G964" s="23"/>
    </row>
    <row r="965">
      <c r="E965" s="3"/>
      <c r="F965" s="3"/>
      <c r="G965" s="23"/>
    </row>
    <row r="966">
      <c r="E966" s="3"/>
      <c r="F966" s="3"/>
      <c r="G966" s="23"/>
    </row>
    <row r="967">
      <c r="E967" s="3"/>
      <c r="F967" s="3"/>
      <c r="G967" s="23"/>
    </row>
    <row r="968">
      <c r="E968" s="3"/>
      <c r="F968" s="3"/>
      <c r="G968" s="23"/>
    </row>
    <row r="969">
      <c r="E969" s="3"/>
      <c r="F969" s="3"/>
      <c r="G969" s="23"/>
    </row>
    <row r="970">
      <c r="E970" s="3"/>
      <c r="F970" s="3"/>
      <c r="G970" s="23"/>
    </row>
    <row r="971">
      <c r="E971" s="3"/>
      <c r="F971" s="3"/>
      <c r="G971" s="23"/>
    </row>
    <row r="972">
      <c r="E972" s="3"/>
      <c r="F972" s="3"/>
      <c r="G972" s="23"/>
    </row>
    <row r="973">
      <c r="E973" s="3"/>
      <c r="F973" s="3"/>
      <c r="G973" s="23"/>
    </row>
    <row r="974">
      <c r="E974" s="3"/>
      <c r="F974" s="3"/>
      <c r="G974" s="23"/>
    </row>
    <row r="975">
      <c r="E975" s="3"/>
      <c r="F975" s="3"/>
      <c r="G975" s="23"/>
    </row>
    <row r="976">
      <c r="E976" s="3"/>
      <c r="F976" s="3"/>
      <c r="G976" s="23"/>
    </row>
    <row r="977">
      <c r="E977" s="3"/>
      <c r="F977" s="3"/>
      <c r="G977" s="23"/>
    </row>
    <row r="978">
      <c r="E978" s="3"/>
      <c r="F978" s="3"/>
      <c r="G978" s="23"/>
    </row>
    <row r="979">
      <c r="E979" s="3"/>
      <c r="F979" s="3"/>
      <c r="G979" s="23"/>
    </row>
    <row r="980">
      <c r="E980" s="3"/>
      <c r="F980" s="3"/>
      <c r="G980" s="23"/>
    </row>
    <row r="981">
      <c r="E981" s="3"/>
      <c r="F981" s="3"/>
      <c r="G981" s="23"/>
    </row>
    <row r="982">
      <c r="E982" s="3"/>
      <c r="F982" s="3"/>
      <c r="G982" s="23"/>
    </row>
    <row r="983">
      <c r="E983" s="3"/>
      <c r="F983" s="3"/>
      <c r="G983" s="23"/>
    </row>
    <row r="984">
      <c r="E984" s="3"/>
      <c r="F984" s="3"/>
      <c r="G984" s="23"/>
    </row>
    <row r="985">
      <c r="E985" s="3"/>
      <c r="F985" s="3"/>
      <c r="G985" s="23"/>
    </row>
    <row r="986">
      <c r="E986" s="3"/>
      <c r="F986" s="3"/>
      <c r="G986" s="23"/>
    </row>
    <row r="987">
      <c r="E987" s="3"/>
      <c r="F987" s="3"/>
      <c r="G987" s="23"/>
    </row>
    <row r="988">
      <c r="E988" s="3"/>
      <c r="F988" s="3"/>
      <c r="G988" s="23"/>
    </row>
    <row r="989">
      <c r="E989" s="3"/>
      <c r="F989" s="3"/>
      <c r="G989" s="23"/>
    </row>
    <row r="990">
      <c r="E990" s="3"/>
      <c r="F990" s="3"/>
      <c r="G990" s="23"/>
    </row>
    <row r="991">
      <c r="E991" s="3"/>
      <c r="F991" s="3"/>
      <c r="G991" s="23"/>
    </row>
    <row r="992">
      <c r="E992" s="3"/>
      <c r="F992" s="3"/>
      <c r="G992" s="23"/>
    </row>
    <row r="993">
      <c r="E993" s="3"/>
      <c r="F993" s="3"/>
      <c r="G993" s="23"/>
    </row>
    <row r="994">
      <c r="E994" s="3"/>
      <c r="F994" s="3"/>
      <c r="G994" s="23"/>
    </row>
    <row r="995">
      <c r="E995" s="3"/>
      <c r="F995" s="3"/>
      <c r="G995" s="23"/>
    </row>
    <row r="996">
      <c r="E996" s="3"/>
      <c r="F996" s="3"/>
      <c r="G996" s="23"/>
    </row>
    <row r="997">
      <c r="E997" s="3"/>
      <c r="F997" s="3"/>
      <c r="G997" s="23"/>
    </row>
    <row r="998">
      <c r="E998" s="3"/>
      <c r="F998" s="3"/>
      <c r="G998" s="23"/>
    </row>
    <row r="999">
      <c r="E999" s="3"/>
      <c r="F999" s="3"/>
      <c r="G999" s="23"/>
    </row>
    <row r="1000">
      <c r="E1000" s="3"/>
      <c r="F1000" s="3"/>
      <c r="G1000" s="23"/>
    </row>
    <row r="1001">
      <c r="E1001" s="3"/>
      <c r="F1001" s="3"/>
      <c r="G1001" s="23"/>
    </row>
    <row r="1002">
      <c r="E1002" s="3"/>
      <c r="F1002" s="3"/>
      <c r="G1002" s="23"/>
    </row>
  </sheetData>
  <mergeCells count="10">
    <mergeCell ref="D24:D26"/>
    <mergeCell ref="D27:D29"/>
    <mergeCell ref="D30:D32"/>
    <mergeCell ref="E2:E3"/>
    <mergeCell ref="F2:I2"/>
    <mergeCell ref="J2:L2"/>
    <mergeCell ref="D12:D14"/>
    <mergeCell ref="D15:D17"/>
    <mergeCell ref="D18:D20"/>
    <mergeCell ref="D21:D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50.0"/>
    <col customWidth="1" min="3" max="4" width="25.57"/>
    <col customWidth="1" min="5" max="5" width="21.43"/>
    <col customWidth="1" min="6" max="6" width="29.14"/>
    <col customWidth="1" min="10" max="10" width="26.0"/>
    <col customWidth="1" min="11" max="11" width="18.71"/>
    <col customWidth="1" min="12" max="12" width="20.29"/>
  </cols>
  <sheetData>
    <row r="1">
      <c r="A1" s="1" t="s">
        <v>0</v>
      </c>
      <c r="B1" s="1" t="s">
        <v>1</v>
      </c>
      <c r="C1" s="39" t="s">
        <v>41</v>
      </c>
      <c r="D1" s="39" t="s">
        <v>42</v>
      </c>
      <c r="E1" s="55" t="s">
        <v>2</v>
      </c>
      <c r="F1" s="55" t="s">
        <v>3</v>
      </c>
      <c r="G1" s="55" t="s">
        <v>4</v>
      </c>
      <c r="H1" s="55" t="s">
        <v>5</v>
      </c>
      <c r="I1" s="55" t="s">
        <v>6</v>
      </c>
      <c r="J1" s="55" t="s">
        <v>7</v>
      </c>
      <c r="K1" s="55" t="s">
        <v>8</v>
      </c>
      <c r="L1" s="56" t="s">
        <v>9</v>
      </c>
    </row>
    <row r="2">
      <c r="A2" s="4" t="s">
        <v>10</v>
      </c>
      <c r="B2" s="5" t="s">
        <v>11</v>
      </c>
      <c r="C2" s="6">
        <v>128.0</v>
      </c>
      <c r="D2" s="9" t="s">
        <v>12</v>
      </c>
      <c r="E2" s="9" t="s">
        <v>12</v>
      </c>
      <c r="F2" s="9" t="s">
        <v>12</v>
      </c>
      <c r="G2" s="6">
        <v>8159346.0</v>
      </c>
      <c r="H2" s="6">
        <v>1.086161E7</v>
      </c>
      <c r="I2" s="6">
        <v>9738.0</v>
      </c>
      <c r="J2" s="6">
        <v>0.0</v>
      </c>
      <c r="K2" s="6">
        <v>418.0</v>
      </c>
      <c r="L2" s="19"/>
    </row>
    <row r="3">
      <c r="A3" s="8"/>
      <c r="B3" s="3"/>
      <c r="C3" s="13"/>
      <c r="D3" s="13"/>
      <c r="G3" s="22"/>
      <c r="H3" s="22"/>
      <c r="I3" s="22"/>
      <c r="J3" s="22"/>
      <c r="K3" s="22"/>
    </row>
    <row r="4">
      <c r="A4" s="12" t="s">
        <v>43</v>
      </c>
      <c r="B4" s="3"/>
      <c r="C4" s="9"/>
      <c r="D4" s="9">
        <v>256.0</v>
      </c>
      <c r="E4" s="24">
        <v>2.0</v>
      </c>
      <c r="F4" s="3" t="s">
        <v>14</v>
      </c>
      <c r="G4" s="27">
        <v>8120799.0</v>
      </c>
      <c r="H4" s="27">
        <v>1.0788023E7</v>
      </c>
      <c r="I4" s="27">
        <v>5835.0</v>
      </c>
      <c r="J4" s="27">
        <v>1486.0</v>
      </c>
      <c r="K4" s="27">
        <v>194.33</v>
      </c>
      <c r="L4" s="57">
        <f>DIVIDE(K2,K4)</f>
        <v>2.150980291</v>
      </c>
    </row>
    <row r="5">
      <c r="A5" s="8"/>
      <c r="B5" s="3"/>
      <c r="C5" s="9"/>
      <c r="D5" s="9"/>
      <c r="F5" s="9" t="s">
        <v>15</v>
      </c>
      <c r="G5" s="27">
        <v>8182964.0</v>
      </c>
      <c r="H5" s="27">
        <v>1.097098267E7</v>
      </c>
      <c r="I5" s="27">
        <v>5669.67</v>
      </c>
      <c r="J5" s="27">
        <v>742.0</v>
      </c>
      <c r="K5" s="27">
        <v>194.67</v>
      </c>
      <c r="L5" s="57">
        <f>DIVIDE(K2,K5)</f>
        <v>2.147223506</v>
      </c>
    </row>
    <row r="6">
      <c r="A6" s="8"/>
      <c r="B6" s="3"/>
      <c r="C6" s="9"/>
      <c r="D6" s="9"/>
      <c r="F6" s="9" t="s">
        <v>16</v>
      </c>
      <c r="G6" s="27">
        <v>8137241.0</v>
      </c>
      <c r="H6" s="27">
        <v>1.082465467E7</v>
      </c>
      <c r="I6" s="27">
        <v>5760.0</v>
      </c>
      <c r="J6" s="27">
        <v>0.0</v>
      </c>
      <c r="K6" s="27">
        <v>189.33</v>
      </c>
      <c r="L6" s="57">
        <f t="shared" ref="L6:L21" si="1">($K$2/K6)</f>
        <v>2.207785348</v>
      </c>
    </row>
    <row r="7">
      <c r="A7" s="8"/>
      <c r="B7" s="3"/>
      <c r="C7" s="9"/>
      <c r="D7" s="9"/>
      <c r="E7" s="24">
        <v>4.0</v>
      </c>
      <c r="F7" s="3" t="s">
        <v>14</v>
      </c>
      <c r="G7" s="27">
        <v>8135383.0</v>
      </c>
      <c r="H7" s="27">
        <v>1.081356767E7</v>
      </c>
      <c r="I7" s="27">
        <v>5521.33</v>
      </c>
      <c r="J7" s="27">
        <v>1485.0</v>
      </c>
      <c r="K7" s="27">
        <v>194.33</v>
      </c>
      <c r="L7" s="57">
        <f t="shared" si="1"/>
        <v>2.150980291</v>
      </c>
    </row>
    <row r="8">
      <c r="A8" s="8"/>
      <c r="B8" s="3"/>
      <c r="C8" s="9"/>
      <c r="D8" s="9"/>
      <c r="F8" s="9" t="s">
        <v>15</v>
      </c>
      <c r="G8" s="27">
        <v>8178703.67</v>
      </c>
      <c r="H8" s="27">
        <v>1.0958993E7</v>
      </c>
      <c r="I8" s="27">
        <v>5900.67</v>
      </c>
      <c r="J8" s="27">
        <v>741.67</v>
      </c>
      <c r="K8" s="27">
        <v>193.67</v>
      </c>
      <c r="L8" s="57">
        <f t="shared" si="1"/>
        <v>2.158310528</v>
      </c>
    </row>
    <row r="9">
      <c r="A9" s="3"/>
      <c r="B9" s="3"/>
      <c r="C9" s="9"/>
      <c r="D9" s="9"/>
      <c r="F9" s="9" t="s">
        <v>16</v>
      </c>
      <c r="G9" s="27">
        <v>8122475.67</v>
      </c>
      <c r="H9" s="27">
        <v>1.07997353E7</v>
      </c>
      <c r="I9" s="27">
        <v>5852.67</v>
      </c>
      <c r="J9" s="27">
        <v>0.0</v>
      </c>
      <c r="K9" s="27">
        <v>189.0</v>
      </c>
      <c r="L9" s="57">
        <f t="shared" si="1"/>
        <v>2.211640212</v>
      </c>
    </row>
    <row r="10">
      <c r="A10" s="3"/>
      <c r="B10" s="3"/>
      <c r="C10" s="3"/>
      <c r="D10" s="3"/>
      <c r="E10" s="24">
        <v>8.0</v>
      </c>
      <c r="F10" s="3" t="s">
        <v>14</v>
      </c>
      <c r="G10" s="27">
        <v>8150920.0</v>
      </c>
      <c r="H10" s="27">
        <v>1.081971867E7</v>
      </c>
      <c r="I10" s="27">
        <v>5577.67</v>
      </c>
      <c r="J10" s="27">
        <v>1483.67</v>
      </c>
      <c r="K10" s="27">
        <v>187.33</v>
      </c>
      <c r="L10" s="57">
        <f t="shared" si="1"/>
        <v>2.23135643</v>
      </c>
    </row>
    <row r="11">
      <c r="A11" s="3"/>
      <c r="B11" s="3"/>
      <c r="C11" s="3"/>
      <c r="D11" s="3"/>
      <c r="F11" s="9" t="s">
        <v>15</v>
      </c>
      <c r="G11" s="27">
        <v>8130911.0</v>
      </c>
      <c r="H11" s="27">
        <v>1.0812905E7</v>
      </c>
      <c r="I11" s="27">
        <v>7601.67</v>
      </c>
      <c r="J11" s="27">
        <v>740.33</v>
      </c>
      <c r="K11" s="27">
        <v>212.67</v>
      </c>
      <c r="L11" s="57">
        <f t="shared" si="1"/>
        <v>1.965486434</v>
      </c>
    </row>
    <row r="12">
      <c r="A12" s="3"/>
      <c r="B12" s="3"/>
      <c r="C12" s="3"/>
      <c r="D12" s="3"/>
      <c r="F12" s="9" t="s">
        <v>16</v>
      </c>
      <c r="G12" s="27">
        <v>8197505.0</v>
      </c>
      <c r="H12" s="27">
        <v>1.087461733E7</v>
      </c>
      <c r="I12" s="27">
        <v>10256.67</v>
      </c>
      <c r="J12" s="27">
        <v>0.0</v>
      </c>
      <c r="K12" s="27">
        <v>210.67</v>
      </c>
      <c r="L12" s="57">
        <f t="shared" si="1"/>
        <v>1.98414582</v>
      </c>
    </row>
    <row r="13">
      <c r="A13" s="3"/>
      <c r="B13" s="3"/>
      <c r="C13" s="3"/>
      <c r="D13" s="3"/>
      <c r="E13" s="24">
        <v>16.0</v>
      </c>
      <c r="F13" s="3" t="s">
        <v>14</v>
      </c>
      <c r="G13" s="27">
        <v>8119312.67</v>
      </c>
      <c r="H13" s="27">
        <v>1.0787901E7</v>
      </c>
      <c r="I13" s="27">
        <v>8113.33</v>
      </c>
      <c r="J13" s="27">
        <v>1482.67</v>
      </c>
      <c r="K13" s="27">
        <v>214.33</v>
      </c>
      <c r="L13" s="57">
        <f t="shared" si="1"/>
        <v>1.950263612</v>
      </c>
    </row>
    <row r="14">
      <c r="A14" s="3"/>
      <c r="B14" s="3"/>
      <c r="C14" s="3"/>
      <c r="D14" s="3"/>
      <c r="F14" s="9" t="s">
        <v>15</v>
      </c>
      <c r="G14" s="27">
        <v>8171359.67</v>
      </c>
      <c r="H14" s="27">
        <v>1.089280033E7</v>
      </c>
      <c r="I14" s="27">
        <v>7649.0</v>
      </c>
      <c r="J14" s="27">
        <v>739.67</v>
      </c>
      <c r="K14" s="27">
        <v>214.67</v>
      </c>
      <c r="L14" s="57">
        <f t="shared" si="1"/>
        <v>1.947174733</v>
      </c>
    </row>
    <row r="15">
      <c r="A15" s="3"/>
      <c r="B15" s="3"/>
      <c r="C15" s="3"/>
      <c r="D15" s="3"/>
      <c r="F15" s="9" t="s">
        <v>16</v>
      </c>
      <c r="G15" s="27">
        <v>8149699.0</v>
      </c>
      <c r="H15" s="27">
        <v>1.087548E7</v>
      </c>
      <c r="I15" s="27">
        <v>7487.0</v>
      </c>
      <c r="J15" s="27">
        <v>0.0</v>
      </c>
      <c r="K15" s="27">
        <v>219.33</v>
      </c>
      <c r="L15" s="57">
        <f t="shared" si="1"/>
        <v>1.90580404</v>
      </c>
    </row>
    <row r="16">
      <c r="A16" s="3"/>
      <c r="B16" s="3"/>
      <c r="C16" s="3"/>
      <c r="D16" s="3"/>
      <c r="E16" s="24">
        <v>32.0</v>
      </c>
      <c r="F16" s="3" t="s">
        <v>14</v>
      </c>
      <c r="G16" s="27">
        <v>8119312.67</v>
      </c>
      <c r="H16" s="27">
        <v>1.0787901E7</v>
      </c>
      <c r="I16" s="27">
        <v>8113.33</v>
      </c>
      <c r="J16" s="27">
        <v>1482.67</v>
      </c>
      <c r="K16" s="27">
        <v>214.33</v>
      </c>
      <c r="L16" s="57">
        <f t="shared" si="1"/>
        <v>1.950263612</v>
      </c>
    </row>
    <row r="17">
      <c r="A17" s="3"/>
      <c r="B17" s="3"/>
      <c r="C17" s="3"/>
      <c r="D17" s="3"/>
      <c r="F17" s="9" t="s">
        <v>15</v>
      </c>
      <c r="G17" s="27">
        <v>8124015.67</v>
      </c>
      <c r="H17" s="27">
        <v>1.079301767E7</v>
      </c>
      <c r="I17" s="27">
        <v>8322.0</v>
      </c>
      <c r="J17" s="27">
        <v>739.0</v>
      </c>
      <c r="K17" s="27">
        <v>225.67</v>
      </c>
      <c r="L17" s="57">
        <f t="shared" si="1"/>
        <v>1.852262153</v>
      </c>
    </row>
    <row r="18">
      <c r="A18" s="3"/>
      <c r="B18" s="3"/>
      <c r="C18" s="3"/>
      <c r="D18" s="3"/>
      <c r="F18" s="9" t="s">
        <v>16</v>
      </c>
      <c r="G18" s="27">
        <v>8138990.67</v>
      </c>
      <c r="H18" s="27">
        <v>1.081447633E7</v>
      </c>
      <c r="I18" s="27">
        <v>10052.0</v>
      </c>
      <c r="J18" s="27">
        <v>0.0</v>
      </c>
      <c r="K18" s="27">
        <v>215.33</v>
      </c>
      <c r="L18" s="57">
        <f t="shared" si="1"/>
        <v>1.94120652</v>
      </c>
    </row>
    <row r="19">
      <c r="A19" s="3"/>
      <c r="B19" s="9"/>
      <c r="C19" s="3"/>
      <c r="D19" s="3"/>
      <c r="E19" s="24">
        <v>64.0</v>
      </c>
      <c r="F19" s="3" t="s">
        <v>14</v>
      </c>
      <c r="G19" s="27">
        <v>8141332.67</v>
      </c>
      <c r="H19" s="27">
        <v>1.0812278E7</v>
      </c>
      <c r="I19" s="27">
        <v>11850.0</v>
      </c>
      <c r="J19" s="27">
        <v>1479.33</v>
      </c>
      <c r="K19" s="27">
        <v>228.67</v>
      </c>
      <c r="L19" s="57">
        <f t="shared" si="1"/>
        <v>1.827961692</v>
      </c>
    </row>
    <row r="20">
      <c r="A20" s="3"/>
      <c r="B20" s="9"/>
      <c r="C20" s="3"/>
      <c r="D20" s="3"/>
      <c r="F20" s="9" t="s">
        <v>15</v>
      </c>
      <c r="G20" s="27">
        <v>8166948.67</v>
      </c>
      <c r="H20" s="27">
        <v>1.088628133E7</v>
      </c>
      <c r="I20" s="27">
        <v>8358.0</v>
      </c>
      <c r="J20" s="27">
        <v>737.33</v>
      </c>
      <c r="K20" s="27">
        <v>224.33</v>
      </c>
      <c r="L20" s="57">
        <f t="shared" si="1"/>
        <v>1.86332635</v>
      </c>
    </row>
    <row r="21">
      <c r="A21" s="3"/>
      <c r="B21" s="9"/>
      <c r="C21" s="3"/>
      <c r="D21" s="3"/>
      <c r="F21" s="9" t="s">
        <v>16</v>
      </c>
      <c r="G21" s="27">
        <v>8164626.33</v>
      </c>
      <c r="H21" s="27">
        <v>1.089154933E7</v>
      </c>
      <c r="I21" s="27">
        <v>8413.33</v>
      </c>
      <c r="J21" s="27">
        <v>0.0</v>
      </c>
      <c r="K21" s="27">
        <v>222.0</v>
      </c>
      <c r="L21" s="57">
        <f t="shared" si="1"/>
        <v>1.882882883</v>
      </c>
    </row>
    <row r="22">
      <c r="A22" s="3"/>
      <c r="B22" s="9"/>
      <c r="C22" s="3"/>
      <c r="D22" s="3"/>
      <c r="F22" s="9"/>
      <c r="G22" s="27"/>
      <c r="H22" s="27"/>
      <c r="I22" s="27"/>
      <c r="J22" s="27"/>
      <c r="K22" s="27"/>
    </row>
    <row r="23">
      <c r="A23" s="8"/>
      <c r="B23" s="3"/>
      <c r="C23" s="13"/>
      <c r="D23" s="13"/>
      <c r="G23" s="22"/>
      <c r="H23" s="22"/>
      <c r="I23" s="22"/>
      <c r="J23" s="22"/>
      <c r="K23" s="22"/>
    </row>
    <row r="24">
      <c r="A24" s="12"/>
      <c r="B24" s="3"/>
      <c r="C24" s="9"/>
      <c r="D24" s="9">
        <v>128.0</v>
      </c>
      <c r="E24" s="24">
        <v>2.0</v>
      </c>
      <c r="F24" s="3" t="s">
        <v>14</v>
      </c>
      <c r="G24" s="27">
        <v>8147971.67</v>
      </c>
      <c r="H24" s="27">
        <v>1.0823489E7</v>
      </c>
      <c r="I24" s="27">
        <v>7589.67</v>
      </c>
      <c r="J24" s="27">
        <v>1489.33</v>
      </c>
      <c r="K24" s="27">
        <v>254.67</v>
      </c>
      <c r="L24" s="57">
        <f t="shared" ref="L24:L41" si="2">($K$2/K24)</f>
        <v>1.641339773</v>
      </c>
    </row>
    <row r="25">
      <c r="A25" s="8"/>
      <c r="B25" s="3"/>
      <c r="C25" s="9"/>
      <c r="D25" s="9"/>
      <c r="F25" s="9" t="s">
        <v>15</v>
      </c>
      <c r="G25" s="27">
        <v>8156222.33</v>
      </c>
      <c r="H25" s="27">
        <v>1.088823E7</v>
      </c>
      <c r="I25" s="27">
        <v>6959.67</v>
      </c>
      <c r="J25" s="27">
        <v>742.67</v>
      </c>
      <c r="K25" s="27">
        <v>256.0</v>
      </c>
      <c r="L25" s="57">
        <f t="shared" si="2"/>
        <v>1.6328125</v>
      </c>
    </row>
    <row r="26">
      <c r="A26" s="8"/>
      <c r="B26" s="3"/>
      <c r="C26" s="9"/>
      <c r="D26" s="9"/>
      <c r="F26" s="9" t="s">
        <v>16</v>
      </c>
      <c r="G26" s="27">
        <v>8138399.67</v>
      </c>
      <c r="H26" s="27">
        <v>1.082128733E7</v>
      </c>
      <c r="I26" s="27">
        <v>8269.0</v>
      </c>
      <c r="J26" s="27">
        <v>0.0</v>
      </c>
      <c r="K26" s="27">
        <v>261.0</v>
      </c>
      <c r="L26" s="57">
        <f t="shared" si="2"/>
        <v>1.601532567</v>
      </c>
    </row>
    <row r="27">
      <c r="A27" s="8"/>
      <c r="B27" s="3"/>
      <c r="C27" s="9"/>
      <c r="D27" s="9"/>
      <c r="E27" s="24">
        <v>4.0</v>
      </c>
      <c r="F27" s="3" t="s">
        <v>14</v>
      </c>
      <c r="G27" s="27">
        <v>8185024.0</v>
      </c>
      <c r="H27" s="27">
        <v>1.096132033E7</v>
      </c>
      <c r="I27" s="27">
        <v>7984.0</v>
      </c>
      <c r="J27" s="27">
        <v>1488.67</v>
      </c>
      <c r="K27" s="27">
        <v>270.67</v>
      </c>
      <c r="L27" s="57">
        <f t="shared" si="2"/>
        <v>1.544315957</v>
      </c>
    </row>
    <row r="28">
      <c r="A28" s="8"/>
      <c r="B28" s="3"/>
      <c r="C28" s="9"/>
      <c r="D28" s="9"/>
      <c r="F28" s="9" t="s">
        <v>15</v>
      </c>
      <c r="G28" s="27">
        <v>8157674.0</v>
      </c>
      <c r="H28" s="27">
        <v>1.082665867E7</v>
      </c>
      <c r="I28" s="27">
        <v>6349.33</v>
      </c>
      <c r="J28" s="27">
        <v>743.0</v>
      </c>
      <c r="K28" s="27">
        <v>260.67</v>
      </c>
      <c r="L28" s="57">
        <f t="shared" si="2"/>
        <v>1.603560057</v>
      </c>
    </row>
    <row r="29">
      <c r="A29" s="3"/>
      <c r="B29" s="3"/>
      <c r="C29" s="9"/>
      <c r="D29" s="9"/>
      <c r="F29" s="9" t="s">
        <v>16</v>
      </c>
      <c r="G29" s="27">
        <v>8126867.67</v>
      </c>
      <c r="H29" s="27">
        <v>1.079696833E7</v>
      </c>
      <c r="I29" s="27">
        <v>7305.67</v>
      </c>
      <c r="J29" s="27">
        <v>0.0</v>
      </c>
      <c r="K29" s="27">
        <v>258.0</v>
      </c>
      <c r="L29" s="57">
        <f t="shared" si="2"/>
        <v>1.620155039</v>
      </c>
    </row>
    <row r="30">
      <c r="A30" s="3"/>
      <c r="B30" s="3"/>
      <c r="C30" s="3"/>
      <c r="D30" s="3"/>
      <c r="E30" s="24">
        <v>8.0</v>
      </c>
      <c r="F30" s="3" t="s">
        <v>14</v>
      </c>
      <c r="G30" s="27">
        <v>8139445.33</v>
      </c>
      <c r="H30" s="27">
        <v>1.0820395E7</v>
      </c>
      <c r="I30" s="27">
        <v>7448.33</v>
      </c>
      <c r="J30" s="27">
        <v>1482.33</v>
      </c>
      <c r="K30" s="27">
        <v>254.0</v>
      </c>
      <c r="L30" s="57">
        <f t="shared" si="2"/>
        <v>1.645669291</v>
      </c>
    </row>
    <row r="31">
      <c r="A31" s="3"/>
      <c r="B31" s="3"/>
      <c r="C31" s="3"/>
      <c r="D31" s="3"/>
      <c r="F31" s="9" t="s">
        <v>15</v>
      </c>
      <c r="G31" s="27">
        <v>8157270.33</v>
      </c>
      <c r="H31" s="27">
        <v>1.083825367E7</v>
      </c>
      <c r="I31" s="27">
        <v>9178.0</v>
      </c>
      <c r="J31" s="27">
        <v>739.33</v>
      </c>
      <c r="K31" s="27">
        <v>255.0</v>
      </c>
      <c r="L31" s="57">
        <f t="shared" si="2"/>
        <v>1.639215686</v>
      </c>
    </row>
    <row r="32">
      <c r="A32" s="3"/>
      <c r="B32" s="3"/>
      <c r="C32" s="3"/>
      <c r="D32" s="3"/>
      <c r="F32" s="9" t="s">
        <v>16</v>
      </c>
      <c r="G32" s="27">
        <v>8190473.33</v>
      </c>
      <c r="H32" s="27">
        <v>1.0977752E7</v>
      </c>
      <c r="I32" s="27">
        <v>5669.33</v>
      </c>
      <c r="J32" s="27">
        <v>0.0</v>
      </c>
      <c r="K32" s="27">
        <v>270.33</v>
      </c>
      <c r="L32" s="57">
        <f t="shared" si="2"/>
        <v>1.546258277</v>
      </c>
    </row>
    <row r="33">
      <c r="A33" s="3"/>
      <c r="B33" s="3"/>
      <c r="C33" s="3"/>
      <c r="D33" s="3"/>
      <c r="E33" s="24">
        <v>16.0</v>
      </c>
      <c r="F33" s="3" t="s">
        <v>14</v>
      </c>
      <c r="G33" s="27">
        <v>8166515.0</v>
      </c>
      <c r="H33" s="27">
        <v>1.0889223E7</v>
      </c>
      <c r="I33" s="27">
        <v>6020.33</v>
      </c>
      <c r="J33" s="27">
        <v>1485.67</v>
      </c>
      <c r="K33" s="27">
        <v>274.67</v>
      </c>
      <c r="L33" s="57">
        <f t="shared" si="2"/>
        <v>1.521826191</v>
      </c>
    </row>
    <row r="34">
      <c r="A34" s="3"/>
      <c r="B34" s="3"/>
      <c r="C34" s="3"/>
      <c r="D34" s="3"/>
      <c r="F34" s="9" t="s">
        <v>15</v>
      </c>
      <c r="G34" s="27">
        <v>8185965.33</v>
      </c>
      <c r="H34" s="27">
        <v>1.096549033E7</v>
      </c>
      <c r="I34" s="27">
        <v>5732.0</v>
      </c>
      <c r="J34" s="27">
        <v>742.33</v>
      </c>
      <c r="K34" s="27">
        <v>274.0</v>
      </c>
      <c r="L34" s="57">
        <f t="shared" si="2"/>
        <v>1.525547445</v>
      </c>
    </row>
    <row r="35">
      <c r="A35" s="3"/>
      <c r="B35" s="3"/>
      <c r="C35" s="3"/>
      <c r="D35" s="3"/>
      <c r="F35" s="9" t="s">
        <v>16</v>
      </c>
      <c r="G35" s="27">
        <v>8119508.0</v>
      </c>
      <c r="H35" s="27">
        <v>1.079101467E7</v>
      </c>
      <c r="I35" s="27">
        <v>5900.33</v>
      </c>
      <c r="J35" s="27">
        <v>0.0</v>
      </c>
      <c r="K35" s="27">
        <v>283.0</v>
      </c>
      <c r="L35" s="57">
        <f t="shared" si="2"/>
        <v>1.477031802</v>
      </c>
    </row>
    <row r="36">
      <c r="A36" s="3"/>
      <c r="B36" s="3"/>
      <c r="C36" s="3"/>
      <c r="D36" s="3"/>
      <c r="E36" s="24">
        <v>32.0</v>
      </c>
      <c r="F36" s="3" t="s">
        <v>14</v>
      </c>
      <c r="G36" s="27">
        <v>8170561.33</v>
      </c>
      <c r="H36" s="27">
        <v>1.088885867E7</v>
      </c>
      <c r="I36" s="27">
        <v>5407.33</v>
      </c>
      <c r="J36" s="27">
        <v>1485.33</v>
      </c>
      <c r="K36" s="27">
        <v>269.33</v>
      </c>
      <c r="L36" s="57">
        <f t="shared" si="2"/>
        <v>1.551999406</v>
      </c>
    </row>
    <row r="37">
      <c r="A37" s="3"/>
      <c r="B37" s="3"/>
      <c r="C37" s="3"/>
      <c r="D37" s="3"/>
      <c r="F37" s="9" t="s">
        <v>15</v>
      </c>
      <c r="G37" s="27">
        <v>8176242.0</v>
      </c>
      <c r="H37" s="27">
        <v>1.092482067E7</v>
      </c>
      <c r="I37" s="27">
        <v>5583.33</v>
      </c>
      <c r="J37" s="27">
        <v>739.0</v>
      </c>
      <c r="K37" s="27">
        <v>268.33</v>
      </c>
      <c r="L37" s="57">
        <f t="shared" si="2"/>
        <v>1.557783327</v>
      </c>
    </row>
    <row r="38">
      <c r="A38" s="3"/>
      <c r="B38" s="3"/>
      <c r="C38" s="3"/>
      <c r="D38" s="3"/>
      <c r="F38" s="9" t="s">
        <v>16</v>
      </c>
      <c r="G38" s="27">
        <v>8132695.67</v>
      </c>
      <c r="H38" s="27">
        <v>1.0807597E7</v>
      </c>
      <c r="I38" s="27">
        <v>5309.67</v>
      </c>
      <c r="J38" s="27">
        <v>0.0</v>
      </c>
      <c r="K38" s="27">
        <v>271.0</v>
      </c>
      <c r="L38" s="57">
        <f t="shared" si="2"/>
        <v>1.542435424</v>
      </c>
    </row>
    <row r="39">
      <c r="A39" s="3"/>
      <c r="B39" s="9"/>
      <c r="C39" s="3"/>
      <c r="D39" s="3"/>
      <c r="E39" s="24">
        <v>64.0</v>
      </c>
      <c r="F39" s="3" t="s">
        <v>14</v>
      </c>
      <c r="G39" s="27">
        <v>8178201.67</v>
      </c>
      <c r="H39" s="27">
        <v>1.0958246E7</v>
      </c>
      <c r="I39" s="27">
        <v>5634.67</v>
      </c>
      <c r="J39" s="27">
        <v>1481.0</v>
      </c>
      <c r="K39" s="27">
        <v>274.67</v>
      </c>
      <c r="L39" s="57">
        <f t="shared" si="2"/>
        <v>1.521826191</v>
      </c>
    </row>
    <row r="40">
      <c r="A40" s="3"/>
      <c r="B40" s="9"/>
      <c r="C40" s="3"/>
      <c r="D40" s="3"/>
      <c r="F40" s="9" t="s">
        <v>15</v>
      </c>
      <c r="G40" s="27">
        <v>8150797.67</v>
      </c>
      <c r="H40" s="27">
        <v>1.0862767E7</v>
      </c>
      <c r="I40" s="27">
        <v>5082.67</v>
      </c>
      <c r="J40" s="27">
        <v>735.33</v>
      </c>
      <c r="K40" s="27">
        <v>271.0</v>
      </c>
      <c r="L40" s="57">
        <f t="shared" si="2"/>
        <v>1.542435424</v>
      </c>
    </row>
    <row r="41">
      <c r="A41" s="3"/>
      <c r="B41" s="9"/>
      <c r="C41" s="3"/>
      <c r="D41" s="3"/>
      <c r="F41" s="9" t="s">
        <v>16</v>
      </c>
      <c r="G41" s="27">
        <v>8154264.67</v>
      </c>
      <c r="H41" s="27">
        <v>1.082733E7</v>
      </c>
      <c r="I41" s="27">
        <v>5334.33</v>
      </c>
      <c r="J41" s="27">
        <v>0.0</v>
      </c>
      <c r="K41" s="27">
        <v>265.33</v>
      </c>
      <c r="L41" s="57">
        <f t="shared" si="2"/>
        <v>1.575396676</v>
      </c>
    </row>
    <row r="42">
      <c r="A42" s="3"/>
      <c r="B42" s="9"/>
      <c r="C42" s="3"/>
      <c r="D42" s="3"/>
      <c r="F42" s="3"/>
      <c r="G42" s="22"/>
      <c r="H42" s="22"/>
      <c r="I42" s="22"/>
      <c r="J42" s="22"/>
      <c r="K42" s="22"/>
    </row>
    <row r="43">
      <c r="A43" s="1" t="s">
        <v>0</v>
      </c>
      <c r="B43" s="1" t="s">
        <v>1</v>
      </c>
      <c r="C43" s="39" t="s">
        <v>41</v>
      </c>
      <c r="D43" s="39" t="s">
        <v>42</v>
      </c>
      <c r="E43" s="55" t="s">
        <v>2</v>
      </c>
      <c r="F43" s="55" t="s">
        <v>3</v>
      </c>
      <c r="G43" s="55" t="s">
        <v>4</v>
      </c>
      <c r="H43" s="55" t="s">
        <v>5</v>
      </c>
      <c r="I43" s="55" t="s">
        <v>6</v>
      </c>
      <c r="J43" s="55" t="s">
        <v>7</v>
      </c>
      <c r="K43" s="55" t="s">
        <v>8</v>
      </c>
      <c r="L43" s="58" t="s">
        <v>9</v>
      </c>
      <c r="M43" s="40"/>
      <c r="N43" s="40"/>
      <c r="O43" s="59"/>
      <c r="P43" s="59"/>
      <c r="Q43" s="40"/>
      <c r="R43" s="40"/>
      <c r="S43" s="40"/>
      <c r="T43" s="40"/>
      <c r="U43" s="40"/>
      <c r="V43" s="40"/>
      <c r="W43" s="40"/>
      <c r="X43" s="41"/>
    </row>
    <row r="44">
      <c r="A44" s="4" t="s">
        <v>10</v>
      </c>
      <c r="B44" s="5" t="s">
        <v>11</v>
      </c>
      <c r="C44" s="6">
        <v>512.0</v>
      </c>
      <c r="D44" s="9" t="s">
        <v>12</v>
      </c>
      <c r="E44" s="9" t="s">
        <v>12</v>
      </c>
      <c r="F44" s="9" t="s">
        <v>12</v>
      </c>
      <c r="G44" s="6">
        <v>7.3207162E7</v>
      </c>
      <c r="H44" s="6">
        <v>8.2589564E7</v>
      </c>
      <c r="I44" s="6">
        <v>265347.0</v>
      </c>
      <c r="J44" s="6">
        <v>0.0</v>
      </c>
      <c r="K44" s="6">
        <v>1330.0</v>
      </c>
      <c r="L44" s="19"/>
      <c r="M44" s="3"/>
      <c r="N44" s="3"/>
      <c r="O44" s="9"/>
      <c r="P44" s="9"/>
      <c r="Q44" s="9"/>
      <c r="R44" s="9"/>
      <c r="S44" s="9"/>
      <c r="T44" s="9"/>
      <c r="U44" s="9"/>
      <c r="V44" s="9"/>
      <c r="W44" s="9"/>
      <c r="X44" s="19"/>
    </row>
    <row r="45">
      <c r="A45" s="8"/>
      <c r="B45" s="3"/>
      <c r="C45" s="13"/>
      <c r="D45" s="13"/>
      <c r="G45" s="22"/>
      <c r="H45" s="22"/>
      <c r="I45" s="22"/>
      <c r="J45" s="22"/>
      <c r="K45" s="22"/>
      <c r="M45" s="3"/>
      <c r="N45" s="3"/>
      <c r="O45" s="13"/>
      <c r="P45" s="13"/>
    </row>
    <row r="46">
      <c r="A46" s="12" t="s">
        <v>43</v>
      </c>
      <c r="B46" s="3"/>
      <c r="C46" s="9"/>
      <c r="D46" s="9">
        <v>256.0</v>
      </c>
      <c r="E46" s="24">
        <v>2.0</v>
      </c>
      <c r="F46" s="3" t="s">
        <v>14</v>
      </c>
      <c r="G46" s="27">
        <v>6.470610933E7</v>
      </c>
      <c r="H46" s="27">
        <v>8.588213067E7</v>
      </c>
      <c r="I46" s="27">
        <v>31144.67</v>
      </c>
      <c r="J46" s="27">
        <v>1489.0</v>
      </c>
      <c r="K46" s="27">
        <v>946.0</v>
      </c>
      <c r="L46" s="57">
        <f t="shared" ref="L46:L63" si="3">($K$44/K46)</f>
        <v>1.405919662</v>
      </c>
      <c r="M46" s="9"/>
      <c r="N46" s="3"/>
      <c r="O46" s="9"/>
      <c r="P46" s="9"/>
      <c r="R46" s="3"/>
    </row>
    <row r="47">
      <c r="A47" s="8"/>
      <c r="B47" s="3"/>
      <c r="C47" s="9"/>
      <c r="D47" s="9"/>
      <c r="F47" s="9" t="s">
        <v>15</v>
      </c>
      <c r="G47" s="27">
        <v>6.486758733E7</v>
      </c>
      <c r="H47" s="27">
        <v>8.605546933E7</v>
      </c>
      <c r="I47" s="27">
        <v>28067.0</v>
      </c>
      <c r="J47" s="27">
        <v>743.33</v>
      </c>
      <c r="K47" s="27">
        <v>926.0</v>
      </c>
      <c r="L47" s="57">
        <f t="shared" si="3"/>
        <v>1.436285097</v>
      </c>
      <c r="M47" s="8"/>
      <c r="N47" s="3"/>
      <c r="O47" s="9"/>
      <c r="P47" s="9"/>
      <c r="R47" s="9"/>
    </row>
    <row r="48">
      <c r="A48" s="8"/>
      <c r="B48" s="3"/>
      <c r="C48" s="9"/>
      <c r="D48" s="9"/>
      <c r="F48" s="9" t="s">
        <v>16</v>
      </c>
      <c r="G48" s="27">
        <v>6.477190833E7</v>
      </c>
      <c r="H48" s="27">
        <v>8.602603067E7</v>
      </c>
      <c r="I48" s="27">
        <v>35804.33</v>
      </c>
      <c r="J48" s="27">
        <v>0.0</v>
      </c>
      <c r="K48" s="27">
        <v>942.33</v>
      </c>
      <c r="L48" s="57">
        <f t="shared" si="3"/>
        <v>1.411395159</v>
      </c>
      <c r="M48" s="8"/>
      <c r="N48" s="3"/>
      <c r="O48" s="9"/>
      <c r="P48" s="9"/>
      <c r="R48" s="9"/>
    </row>
    <row r="49">
      <c r="A49" s="8"/>
      <c r="B49" s="3"/>
      <c r="C49" s="9"/>
      <c r="D49" s="9"/>
      <c r="E49" s="24">
        <v>4.0</v>
      </c>
      <c r="F49" s="3" t="s">
        <v>14</v>
      </c>
      <c r="G49" s="27">
        <v>6.499017533E7</v>
      </c>
      <c r="H49" s="27">
        <v>8.655364567E7</v>
      </c>
      <c r="I49" s="27">
        <v>32552.67</v>
      </c>
      <c r="J49" s="27">
        <v>1487.0</v>
      </c>
      <c r="K49" s="27">
        <v>951.0</v>
      </c>
      <c r="L49" s="57">
        <f t="shared" si="3"/>
        <v>1.398527865</v>
      </c>
      <c r="M49" s="8"/>
      <c r="N49" s="3"/>
      <c r="O49" s="9"/>
      <c r="P49" s="9"/>
      <c r="R49" s="3"/>
    </row>
    <row r="50">
      <c r="A50" s="8"/>
      <c r="B50" s="3"/>
      <c r="C50" s="9"/>
      <c r="D50" s="9"/>
      <c r="F50" s="9" t="s">
        <v>15</v>
      </c>
      <c r="G50" s="27">
        <v>6.480226067E7</v>
      </c>
      <c r="H50" s="27">
        <v>8.5990331E7</v>
      </c>
      <c r="I50" s="27">
        <v>31279.0</v>
      </c>
      <c r="J50" s="27">
        <v>743.67</v>
      </c>
      <c r="K50" s="27">
        <v>922.33</v>
      </c>
      <c r="L50" s="57">
        <f t="shared" si="3"/>
        <v>1.442000152</v>
      </c>
      <c r="M50" s="8"/>
      <c r="N50" s="3"/>
      <c r="O50" s="9"/>
      <c r="P50" s="9"/>
      <c r="R50" s="9"/>
    </row>
    <row r="51">
      <c r="A51" s="3"/>
      <c r="B51" s="3"/>
      <c r="C51" s="9"/>
      <c r="D51" s="9"/>
      <c r="F51" s="9" t="s">
        <v>16</v>
      </c>
      <c r="G51" s="27">
        <v>6.487636667E7</v>
      </c>
      <c r="H51" s="27">
        <v>8.6293657E7</v>
      </c>
      <c r="I51" s="27">
        <v>30292.67</v>
      </c>
      <c r="J51" s="27">
        <v>0.0</v>
      </c>
      <c r="K51" s="27">
        <v>939.0</v>
      </c>
      <c r="L51" s="57">
        <f t="shared" si="3"/>
        <v>1.416400426</v>
      </c>
      <c r="M51" s="3"/>
      <c r="N51" s="3"/>
      <c r="O51" s="9"/>
      <c r="P51" s="9"/>
      <c r="R51" s="9"/>
    </row>
    <row r="52">
      <c r="A52" s="3"/>
      <c r="B52" s="3"/>
      <c r="C52" s="3"/>
      <c r="D52" s="3"/>
      <c r="E52" s="24">
        <v>8.0</v>
      </c>
      <c r="F52" s="3" t="s">
        <v>14</v>
      </c>
      <c r="G52" s="27">
        <v>6.4689883E7</v>
      </c>
      <c r="H52" s="27">
        <v>8.5857111E7</v>
      </c>
      <c r="I52" s="27">
        <v>24969.0</v>
      </c>
      <c r="J52" s="27">
        <v>1484.67</v>
      </c>
      <c r="K52" s="27">
        <v>1009.67</v>
      </c>
      <c r="L52" s="57">
        <f t="shared" si="3"/>
        <v>1.317262076</v>
      </c>
      <c r="M52" s="3"/>
      <c r="N52" s="3"/>
      <c r="O52" s="3"/>
      <c r="P52" s="3"/>
      <c r="R52" s="3"/>
    </row>
    <row r="53">
      <c r="A53" s="3"/>
      <c r="B53" s="3"/>
      <c r="C53" s="3"/>
      <c r="D53" s="3"/>
      <c r="F53" s="9" t="s">
        <v>15</v>
      </c>
      <c r="G53" s="27">
        <v>6.489092267E7</v>
      </c>
      <c r="H53" s="27">
        <v>8.608149133E7</v>
      </c>
      <c r="I53" s="27">
        <v>29502.0</v>
      </c>
      <c r="J53" s="27">
        <v>740.67</v>
      </c>
      <c r="K53" s="27">
        <v>951.33</v>
      </c>
      <c r="L53" s="57">
        <f t="shared" si="3"/>
        <v>1.39804274</v>
      </c>
      <c r="M53" s="3"/>
      <c r="N53" s="3"/>
      <c r="O53" s="3"/>
      <c r="P53" s="3"/>
      <c r="R53" s="9"/>
    </row>
    <row r="54">
      <c r="A54" s="3"/>
      <c r="B54" s="3"/>
      <c r="C54" s="3"/>
      <c r="D54" s="3"/>
      <c r="F54" s="9" t="s">
        <v>16</v>
      </c>
      <c r="G54" s="27">
        <v>6.476177567E7</v>
      </c>
      <c r="H54" s="27">
        <v>8.598148E7</v>
      </c>
      <c r="I54" s="27">
        <v>23828.33</v>
      </c>
      <c r="J54" s="27">
        <v>0.0</v>
      </c>
      <c r="K54" s="27">
        <v>961.67</v>
      </c>
      <c r="L54" s="57">
        <f t="shared" si="3"/>
        <v>1.383010804</v>
      </c>
      <c r="M54" s="3"/>
      <c r="N54" s="3"/>
      <c r="O54" s="3"/>
      <c r="P54" s="3"/>
      <c r="R54" s="9"/>
    </row>
    <row r="55">
      <c r="A55" s="3"/>
      <c r="B55" s="3"/>
      <c r="C55" s="3"/>
      <c r="D55" s="3"/>
      <c r="E55" s="24">
        <v>16.0</v>
      </c>
      <c r="F55" s="3" t="s">
        <v>14</v>
      </c>
      <c r="G55" s="27">
        <v>6.503218867E7</v>
      </c>
      <c r="H55" s="27">
        <v>8.6671291E7</v>
      </c>
      <c r="I55" s="27">
        <v>29451.33</v>
      </c>
      <c r="J55" s="27">
        <v>1485.33</v>
      </c>
      <c r="K55" s="27">
        <v>947.33</v>
      </c>
      <c r="L55" s="57">
        <f t="shared" si="3"/>
        <v>1.403945827</v>
      </c>
      <c r="M55" s="3"/>
      <c r="N55" s="3"/>
      <c r="O55" s="3"/>
      <c r="P55" s="3"/>
      <c r="R55" s="3"/>
    </row>
    <row r="56">
      <c r="A56" s="3"/>
      <c r="B56" s="3"/>
      <c r="C56" s="3"/>
      <c r="D56" s="3"/>
      <c r="F56" s="9" t="s">
        <v>15</v>
      </c>
      <c r="G56" s="27">
        <v>6.507802433E7</v>
      </c>
      <c r="H56" s="27">
        <v>8.607745467E7</v>
      </c>
      <c r="I56" s="27">
        <v>31904.0</v>
      </c>
      <c r="J56" s="27">
        <v>741.33</v>
      </c>
      <c r="K56" s="27">
        <v>941.33</v>
      </c>
      <c r="L56" s="57">
        <f t="shared" si="3"/>
        <v>1.412894522</v>
      </c>
      <c r="M56" s="3"/>
      <c r="N56" s="3"/>
      <c r="O56" s="3"/>
      <c r="P56" s="3"/>
      <c r="R56" s="9"/>
    </row>
    <row r="57">
      <c r="A57" s="3"/>
      <c r="B57" s="3"/>
      <c r="C57" s="3"/>
      <c r="D57" s="3"/>
      <c r="F57" s="9" t="s">
        <v>16</v>
      </c>
      <c r="G57" s="27">
        <v>6.5084354E7</v>
      </c>
      <c r="H57" s="27">
        <v>8.671688167E7</v>
      </c>
      <c r="I57" s="27">
        <v>31242.33</v>
      </c>
      <c r="J57" s="27">
        <v>0.0</v>
      </c>
      <c r="K57" s="27">
        <v>943.0</v>
      </c>
      <c r="L57" s="57">
        <f t="shared" si="3"/>
        <v>1.410392365</v>
      </c>
      <c r="M57" s="3"/>
      <c r="N57" s="3"/>
      <c r="O57" s="3"/>
      <c r="P57" s="3"/>
      <c r="R57" s="9"/>
    </row>
    <row r="58">
      <c r="A58" s="3"/>
      <c r="B58" s="3"/>
      <c r="C58" s="3"/>
      <c r="D58" s="3"/>
      <c r="E58" s="24">
        <v>32.0</v>
      </c>
      <c r="F58" s="3" t="s">
        <v>14</v>
      </c>
      <c r="G58" s="27">
        <v>6.468142833E7</v>
      </c>
      <c r="H58" s="27">
        <v>8.588014167E7</v>
      </c>
      <c r="I58" s="27">
        <v>33713.67</v>
      </c>
      <c r="J58" s="27">
        <v>1487.0</v>
      </c>
      <c r="K58" s="27">
        <v>963.33</v>
      </c>
      <c r="L58" s="57">
        <f t="shared" si="3"/>
        <v>1.380627615</v>
      </c>
      <c r="M58" s="3"/>
      <c r="N58" s="3"/>
      <c r="O58" s="3"/>
      <c r="P58" s="3"/>
      <c r="R58" s="3"/>
    </row>
    <row r="59">
      <c r="A59" s="3"/>
      <c r="B59" s="3"/>
      <c r="C59" s="3"/>
      <c r="D59" s="3"/>
      <c r="F59" s="9" t="s">
        <v>15</v>
      </c>
      <c r="G59" s="27">
        <v>6.469365167E7</v>
      </c>
      <c r="H59" s="27">
        <v>8.595072733E7</v>
      </c>
      <c r="I59" s="27">
        <v>34614.0</v>
      </c>
      <c r="J59" s="27">
        <v>742.33</v>
      </c>
      <c r="K59" s="27">
        <v>950.33</v>
      </c>
      <c r="L59" s="57">
        <f t="shared" si="3"/>
        <v>1.399513853</v>
      </c>
      <c r="M59" s="3"/>
      <c r="N59" s="3"/>
      <c r="O59" s="3"/>
      <c r="P59" s="3"/>
      <c r="R59" s="9"/>
    </row>
    <row r="60">
      <c r="A60" s="3"/>
      <c r="B60" s="3"/>
      <c r="C60" s="3"/>
      <c r="D60" s="3"/>
      <c r="F60" s="9" t="s">
        <v>16</v>
      </c>
      <c r="G60" s="27">
        <v>6.4816866E7</v>
      </c>
      <c r="H60" s="27">
        <v>8.605249333E7</v>
      </c>
      <c r="I60" s="27">
        <v>24896.33</v>
      </c>
      <c r="J60" s="27">
        <v>0.0</v>
      </c>
      <c r="K60" s="27">
        <v>942.0</v>
      </c>
      <c r="L60" s="57">
        <f t="shared" si="3"/>
        <v>1.411889597</v>
      </c>
      <c r="M60" s="3"/>
      <c r="N60" s="3"/>
      <c r="O60" s="3"/>
      <c r="P60" s="3"/>
      <c r="R60" s="9"/>
    </row>
    <row r="61">
      <c r="A61" s="3"/>
      <c r="B61" s="9"/>
      <c r="C61" s="3"/>
      <c r="D61" s="3"/>
      <c r="E61" s="24">
        <v>64.0</v>
      </c>
      <c r="F61" s="3" t="s">
        <v>14</v>
      </c>
      <c r="G61" s="27">
        <v>6.490014133E7</v>
      </c>
      <c r="H61" s="27">
        <v>8.6076623E7</v>
      </c>
      <c r="I61" s="27">
        <v>25578.0</v>
      </c>
      <c r="J61" s="27">
        <v>1482.67</v>
      </c>
      <c r="K61" s="27">
        <v>964.33</v>
      </c>
      <c r="L61" s="57">
        <f t="shared" si="3"/>
        <v>1.379195918</v>
      </c>
      <c r="M61" s="3"/>
      <c r="N61" s="9"/>
      <c r="O61" s="3"/>
      <c r="P61" s="3"/>
      <c r="R61" s="3"/>
    </row>
    <row r="62">
      <c r="A62" s="3"/>
      <c r="B62" s="9"/>
      <c r="C62" s="3"/>
      <c r="D62" s="3"/>
      <c r="F62" s="9" t="s">
        <v>15</v>
      </c>
      <c r="G62" s="27">
        <v>6.491703067E7</v>
      </c>
      <c r="H62" s="27">
        <v>8.650512233E7</v>
      </c>
      <c r="I62" s="27">
        <v>24684.33</v>
      </c>
      <c r="J62" s="27">
        <v>740.67</v>
      </c>
      <c r="K62" s="27">
        <v>968.67</v>
      </c>
      <c r="L62" s="57">
        <f t="shared" si="3"/>
        <v>1.37301661</v>
      </c>
      <c r="M62" s="3"/>
      <c r="N62" s="9"/>
      <c r="O62" s="3"/>
      <c r="P62" s="3"/>
      <c r="R62" s="9"/>
    </row>
    <row r="63">
      <c r="A63" s="3"/>
      <c r="B63" s="9"/>
      <c r="C63" s="3"/>
      <c r="D63" s="3"/>
      <c r="F63" s="9" t="s">
        <v>16</v>
      </c>
      <c r="G63" s="27">
        <v>6.487946733E7</v>
      </c>
      <c r="H63" s="27">
        <v>8.609599867E7</v>
      </c>
      <c r="I63" s="27">
        <v>26852.33</v>
      </c>
      <c r="J63" s="27">
        <v>0.0</v>
      </c>
      <c r="K63" s="27">
        <v>973.33</v>
      </c>
      <c r="L63" s="57">
        <f t="shared" si="3"/>
        <v>1.366443036</v>
      </c>
      <c r="M63" s="3"/>
      <c r="N63" s="9"/>
      <c r="O63" s="3"/>
      <c r="P63" s="3"/>
      <c r="R63" s="9"/>
    </row>
    <row r="64">
      <c r="A64" s="3"/>
      <c r="B64" s="9"/>
      <c r="C64" s="3"/>
      <c r="D64" s="3"/>
      <c r="F64" s="9"/>
      <c r="G64" s="27"/>
      <c r="H64" s="27"/>
      <c r="I64" s="27"/>
      <c r="J64" s="27"/>
      <c r="K64" s="27"/>
      <c r="M64" s="3"/>
      <c r="N64" s="9"/>
      <c r="O64" s="3"/>
      <c r="P64" s="3"/>
      <c r="R64" s="9"/>
    </row>
    <row r="65">
      <c r="A65" s="3"/>
      <c r="B65" s="9"/>
      <c r="C65" s="3"/>
      <c r="D65" s="9">
        <v>128.0</v>
      </c>
      <c r="E65" s="24">
        <v>2.0</v>
      </c>
      <c r="F65" s="3" t="s">
        <v>14</v>
      </c>
      <c r="G65" s="27">
        <v>3.239943567E7</v>
      </c>
      <c r="H65" s="27">
        <v>4.2995479E7</v>
      </c>
      <c r="I65" s="27">
        <v>14236.67</v>
      </c>
      <c r="J65" s="27">
        <v>1492.33</v>
      </c>
      <c r="K65" s="27">
        <v>821.33</v>
      </c>
      <c r="L65" s="57">
        <f t="shared" ref="L65:L82" si="4">($K$44/K65)</f>
        <v>1.619324754</v>
      </c>
      <c r="M65" s="3"/>
      <c r="N65" s="9"/>
      <c r="O65" s="3"/>
      <c r="P65" s="3"/>
      <c r="R65" s="9"/>
    </row>
    <row r="66">
      <c r="A66" s="3"/>
      <c r="B66" s="9"/>
      <c r="C66" s="3"/>
      <c r="D66" s="3"/>
      <c r="F66" s="9" t="s">
        <v>15</v>
      </c>
      <c r="G66" s="27">
        <v>3.245709667E7</v>
      </c>
      <c r="H66" s="27">
        <v>4.307417567E7</v>
      </c>
      <c r="I66" s="27">
        <v>14275.0</v>
      </c>
      <c r="J66" s="27">
        <v>746.0</v>
      </c>
      <c r="K66" s="27">
        <v>814.33</v>
      </c>
      <c r="L66" s="57">
        <f t="shared" si="4"/>
        <v>1.633244508</v>
      </c>
      <c r="M66" s="3"/>
      <c r="N66" s="9"/>
      <c r="O66" s="3"/>
      <c r="P66" s="3"/>
      <c r="R66" s="9"/>
    </row>
    <row r="67">
      <c r="A67" s="3"/>
      <c r="B67" s="9"/>
      <c r="C67" s="3"/>
      <c r="D67" s="3"/>
      <c r="F67" s="9" t="s">
        <v>16</v>
      </c>
      <c r="G67" s="27">
        <v>3.239706667E7</v>
      </c>
      <c r="H67" s="27">
        <v>4.3005633E7</v>
      </c>
      <c r="I67" s="27">
        <v>16089.33</v>
      </c>
      <c r="J67" s="27">
        <v>0.0</v>
      </c>
      <c r="K67" s="27">
        <v>827.33</v>
      </c>
      <c r="L67" s="57">
        <f t="shared" si="4"/>
        <v>1.607581014</v>
      </c>
      <c r="M67" s="3"/>
      <c r="N67" s="9"/>
      <c r="O67" s="3"/>
      <c r="P67" s="3"/>
      <c r="R67" s="9"/>
    </row>
    <row r="68">
      <c r="A68" s="3"/>
      <c r="B68" s="9"/>
      <c r="C68" s="3"/>
      <c r="D68" s="3"/>
      <c r="E68" s="24">
        <v>4.0</v>
      </c>
      <c r="F68" s="3" t="s">
        <v>14</v>
      </c>
      <c r="G68" s="27">
        <v>3.259385433E7</v>
      </c>
      <c r="H68" s="27">
        <v>4.3651148E7</v>
      </c>
      <c r="I68" s="27">
        <v>17973.67</v>
      </c>
      <c r="J68" s="27">
        <v>1490.33</v>
      </c>
      <c r="K68" s="27">
        <v>835.67</v>
      </c>
      <c r="L68" s="57">
        <f t="shared" si="4"/>
        <v>1.591537329</v>
      </c>
      <c r="M68" s="3"/>
      <c r="N68" s="9"/>
      <c r="O68" s="3"/>
      <c r="P68" s="3"/>
      <c r="R68" s="9"/>
    </row>
    <row r="69">
      <c r="A69" s="3"/>
      <c r="B69" s="9"/>
      <c r="C69" s="3"/>
      <c r="D69" s="3"/>
      <c r="F69" s="9" t="s">
        <v>15</v>
      </c>
      <c r="G69" s="27">
        <v>3.2540476E7</v>
      </c>
      <c r="H69" s="27">
        <v>4.3366412E7</v>
      </c>
      <c r="I69" s="27">
        <v>14213.0</v>
      </c>
      <c r="J69" s="27">
        <v>744.33</v>
      </c>
      <c r="K69" s="27">
        <v>818.67</v>
      </c>
      <c r="L69" s="57">
        <f t="shared" si="4"/>
        <v>1.624586219</v>
      </c>
      <c r="M69" s="3"/>
      <c r="N69" s="9"/>
      <c r="O69" s="3"/>
      <c r="P69" s="3"/>
      <c r="R69" s="9"/>
    </row>
    <row r="70">
      <c r="A70" s="3"/>
      <c r="B70" s="9"/>
      <c r="C70" s="3"/>
      <c r="D70" s="3"/>
      <c r="F70" s="9" t="s">
        <v>16</v>
      </c>
      <c r="G70" s="27">
        <v>3.2524457E7</v>
      </c>
      <c r="H70" s="27">
        <v>4.3404311E7</v>
      </c>
      <c r="I70" s="27">
        <v>16033.33</v>
      </c>
      <c r="J70" s="27">
        <v>0.0</v>
      </c>
      <c r="K70" s="27">
        <v>828.67</v>
      </c>
      <c r="L70" s="57">
        <f t="shared" si="4"/>
        <v>1.604981476</v>
      </c>
      <c r="M70" s="3"/>
      <c r="N70" s="9"/>
      <c r="O70" s="3"/>
      <c r="P70" s="3"/>
      <c r="R70" s="9"/>
    </row>
    <row r="71">
      <c r="A71" s="3"/>
      <c r="B71" s="9"/>
      <c r="C71" s="3"/>
      <c r="D71" s="3"/>
      <c r="E71" s="24">
        <v>8.0</v>
      </c>
      <c r="F71" s="3" t="s">
        <v>14</v>
      </c>
      <c r="G71" s="27">
        <v>3.245854567E7</v>
      </c>
      <c r="H71" s="27">
        <v>4.3068753E7</v>
      </c>
      <c r="I71" s="27">
        <v>14610.33</v>
      </c>
      <c r="J71" s="27">
        <v>1485.67</v>
      </c>
      <c r="K71" s="27">
        <v>810.33</v>
      </c>
      <c r="L71" s="57">
        <f t="shared" si="4"/>
        <v>1.641306628</v>
      </c>
      <c r="M71" s="3"/>
      <c r="N71" s="9"/>
      <c r="O71" s="3"/>
      <c r="P71" s="3"/>
      <c r="R71" s="9"/>
    </row>
    <row r="72">
      <c r="A72" s="3"/>
      <c r="B72" s="9"/>
      <c r="C72" s="3"/>
      <c r="D72" s="3"/>
      <c r="F72" s="9" t="s">
        <v>15</v>
      </c>
      <c r="G72" s="27">
        <v>3.2363511E7</v>
      </c>
      <c r="H72" s="27">
        <v>4.296763767E7</v>
      </c>
      <c r="I72" s="27">
        <v>13705.67</v>
      </c>
      <c r="J72" s="27">
        <v>742.67</v>
      </c>
      <c r="K72" s="27">
        <v>829.33</v>
      </c>
      <c r="L72" s="57">
        <f t="shared" si="4"/>
        <v>1.603704195</v>
      </c>
      <c r="M72" s="3"/>
      <c r="N72" s="9"/>
      <c r="O72" s="3"/>
      <c r="P72" s="3"/>
      <c r="R72" s="9"/>
    </row>
    <row r="73">
      <c r="A73" s="3"/>
      <c r="B73" s="9"/>
      <c r="C73" s="3"/>
      <c r="D73" s="3"/>
      <c r="F73" s="9" t="s">
        <v>16</v>
      </c>
      <c r="G73" s="27">
        <v>3.249502533E7</v>
      </c>
      <c r="H73" s="27">
        <v>4.310305267E7</v>
      </c>
      <c r="I73" s="27">
        <v>16742.67</v>
      </c>
      <c r="J73" s="27">
        <v>0.0</v>
      </c>
      <c r="K73" s="27">
        <v>811.0</v>
      </c>
      <c r="L73" s="57">
        <f t="shared" si="4"/>
        <v>1.639950678</v>
      </c>
      <c r="M73" s="3"/>
      <c r="N73" s="9"/>
      <c r="O73" s="3"/>
      <c r="P73" s="3"/>
      <c r="R73" s="9"/>
    </row>
    <row r="74">
      <c r="A74" s="3"/>
      <c r="B74" s="9"/>
      <c r="C74" s="3"/>
      <c r="D74" s="3"/>
      <c r="E74" s="24">
        <v>16.0</v>
      </c>
      <c r="F74" s="3" t="s">
        <v>14</v>
      </c>
      <c r="G74" s="27">
        <v>3.246596433E7</v>
      </c>
      <c r="H74" s="27">
        <v>4.304315933E7</v>
      </c>
      <c r="I74" s="27">
        <v>16160.0</v>
      </c>
      <c r="J74" s="27">
        <v>1486.0</v>
      </c>
      <c r="K74" s="27">
        <v>827.67</v>
      </c>
      <c r="L74" s="57">
        <f t="shared" si="4"/>
        <v>1.606920633</v>
      </c>
      <c r="M74" s="3"/>
      <c r="N74" s="9"/>
      <c r="O74" s="3"/>
      <c r="P74" s="3"/>
      <c r="R74" s="9"/>
    </row>
    <row r="75">
      <c r="A75" s="3"/>
      <c r="B75" s="9"/>
      <c r="C75" s="3"/>
      <c r="D75" s="3"/>
      <c r="F75" s="9" t="s">
        <v>15</v>
      </c>
      <c r="G75" s="27">
        <v>3.280983333E7</v>
      </c>
      <c r="H75" s="27">
        <v>4.3887921E7</v>
      </c>
      <c r="I75" s="27">
        <v>14268.0</v>
      </c>
      <c r="J75" s="27">
        <v>740.67</v>
      </c>
      <c r="K75" s="27">
        <v>842.67</v>
      </c>
      <c r="L75" s="57">
        <f t="shared" si="4"/>
        <v>1.578316541</v>
      </c>
      <c r="M75" s="3"/>
      <c r="N75" s="9"/>
      <c r="O75" s="3"/>
      <c r="P75" s="3"/>
      <c r="R75" s="9"/>
    </row>
    <row r="76">
      <c r="A76" s="3"/>
      <c r="B76" s="9"/>
      <c r="C76" s="3"/>
      <c r="D76" s="3"/>
      <c r="F76" s="9" t="s">
        <v>16</v>
      </c>
      <c r="G76" s="27">
        <v>3.271130667E7</v>
      </c>
      <c r="H76" s="27">
        <v>4.328637733E7</v>
      </c>
      <c r="I76" s="27">
        <v>15506.0</v>
      </c>
      <c r="J76" s="27">
        <v>0.0</v>
      </c>
      <c r="K76" s="27">
        <v>842.0</v>
      </c>
      <c r="L76" s="57">
        <f t="shared" si="4"/>
        <v>1.579572447</v>
      </c>
      <c r="M76" s="3"/>
      <c r="N76" s="9"/>
      <c r="O76" s="3"/>
      <c r="P76" s="3"/>
      <c r="R76" s="9"/>
    </row>
    <row r="77">
      <c r="A77" s="3"/>
      <c r="B77" s="9"/>
      <c r="C77" s="3"/>
      <c r="D77" s="3"/>
      <c r="E77" s="24">
        <v>32.0</v>
      </c>
      <c r="F77" s="3" t="s">
        <v>14</v>
      </c>
      <c r="G77" s="27">
        <v>3.247393533E7</v>
      </c>
      <c r="H77" s="27">
        <v>4.3125676E7</v>
      </c>
      <c r="I77" s="27">
        <v>15128.0</v>
      </c>
      <c r="J77" s="27">
        <v>1484.0</v>
      </c>
      <c r="K77" s="27">
        <v>813.67</v>
      </c>
      <c r="L77" s="57">
        <f t="shared" si="4"/>
        <v>1.634569297</v>
      </c>
      <c r="M77" s="3"/>
      <c r="N77" s="9"/>
      <c r="O77" s="3"/>
      <c r="P77" s="3"/>
      <c r="R77" s="9"/>
    </row>
    <row r="78">
      <c r="A78" s="3"/>
      <c r="B78" s="9"/>
      <c r="C78" s="3"/>
      <c r="D78" s="3"/>
      <c r="F78" s="9" t="s">
        <v>15</v>
      </c>
      <c r="G78" s="27">
        <v>3.2379655E7</v>
      </c>
      <c r="H78" s="27">
        <v>4.2996941E7</v>
      </c>
      <c r="I78" s="27">
        <v>13762.0</v>
      </c>
      <c r="J78" s="27">
        <v>742.33</v>
      </c>
      <c r="K78" s="27">
        <v>819.33</v>
      </c>
      <c r="L78" s="57">
        <f t="shared" si="4"/>
        <v>1.623277556</v>
      </c>
      <c r="M78" s="3"/>
      <c r="N78" s="9"/>
      <c r="O78" s="3"/>
      <c r="P78" s="3"/>
      <c r="R78" s="9"/>
    </row>
    <row r="79">
      <c r="A79" s="3"/>
      <c r="B79" s="9"/>
      <c r="C79" s="3"/>
      <c r="D79" s="3"/>
      <c r="F79" s="9" t="s">
        <v>16</v>
      </c>
      <c r="G79" s="27">
        <v>3.2445786E7</v>
      </c>
      <c r="H79" s="27">
        <v>4.305278533E7</v>
      </c>
      <c r="I79" s="27">
        <v>15202.0</v>
      </c>
      <c r="J79" s="27">
        <v>0.0</v>
      </c>
      <c r="K79" s="27">
        <v>820.33</v>
      </c>
      <c r="L79" s="57">
        <f t="shared" si="4"/>
        <v>1.621298746</v>
      </c>
      <c r="M79" s="3"/>
      <c r="N79" s="9"/>
      <c r="O79" s="3"/>
      <c r="P79" s="3"/>
      <c r="R79" s="9"/>
    </row>
    <row r="80">
      <c r="A80" s="3"/>
      <c r="B80" s="9"/>
      <c r="C80" s="3"/>
      <c r="D80" s="3"/>
      <c r="E80" s="24">
        <v>64.0</v>
      </c>
      <c r="F80" s="3" t="s">
        <v>14</v>
      </c>
      <c r="G80" s="27">
        <v>3.235627067E7</v>
      </c>
      <c r="H80" s="27">
        <v>4.296301367E7</v>
      </c>
      <c r="I80" s="27">
        <v>13287.33</v>
      </c>
      <c r="J80" s="27">
        <v>1482.67</v>
      </c>
      <c r="K80" s="27">
        <v>831.33</v>
      </c>
      <c r="L80" s="57">
        <f t="shared" si="4"/>
        <v>1.59984603</v>
      </c>
      <c r="M80" s="3"/>
      <c r="N80" s="9"/>
      <c r="O80" s="3"/>
      <c r="P80" s="3"/>
      <c r="R80" s="9"/>
    </row>
    <row r="81">
      <c r="A81" s="3"/>
      <c r="B81" s="9"/>
      <c r="C81" s="3"/>
      <c r="D81" s="3"/>
      <c r="F81" s="9" t="s">
        <v>15</v>
      </c>
      <c r="G81" s="27">
        <v>3.242098767E7</v>
      </c>
      <c r="H81" s="27">
        <v>8.650512233E7</v>
      </c>
      <c r="I81" s="27">
        <v>4.304142867E7</v>
      </c>
      <c r="J81" s="27">
        <v>14036.0</v>
      </c>
      <c r="K81" s="27">
        <v>739.33</v>
      </c>
      <c r="L81" s="57">
        <f t="shared" si="4"/>
        <v>1.798926055</v>
      </c>
      <c r="M81" s="3"/>
      <c r="N81" s="9"/>
      <c r="O81" s="3"/>
      <c r="P81" s="3"/>
      <c r="R81" s="9"/>
    </row>
    <row r="82">
      <c r="A82" s="3"/>
      <c r="B82" s="9"/>
      <c r="C82" s="3"/>
      <c r="D82" s="3"/>
      <c r="F82" s="9" t="s">
        <v>16</v>
      </c>
      <c r="G82" s="27">
        <v>3.254303067E7</v>
      </c>
      <c r="H82" s="27">
        <v>4.334921233E7</v>
      </c>
      <c r="I82" s="27">
        <v>14845.67</v>
      </c>
      <c r="J82" s="27">
        <v>0.0</v>
      </c>
      <c r="K82" s="27">
        <v>829.67</v>
      </c>
      <c r="L82" s="57">
        <f t="shared" si="4"/>
        <v>1.603046995</v>
      </c>
      <c r="M82" s="3"/>
      <c r="N82" s="9"/>
      <c r="O82" s="3"/>
      <c r="P82" s="3"/>
      <c r="R82" s="9"/>
    </row>
    <row r="83">
      <c r="A83" s="3"/>
      <c r="B83" s="9"/>
      <c r="C83" s="3"/>
      <c r="D83" s="3"/>
      <c r="F83" s="9"/>
      <c r="G83" s="27"/>
      <c r="H83" s="27"/>
      <c r="I83" s="27"/>
      <c r="J83" s="27"/>
      <c r="K83" s="27"/>
      <c r="M83" s="3"/>
      <c r="N83" s="9"/>
      <c r="O83" s="3"/>
      <c r="P83" s="3"/>
      <c r="R83" s="9"/>
    </row>
    <row r="84">
      <c r="A84" s="3"/>
      <c r="B84" s="9"/>
      <c r="C84" s="3"/>
      <c r="D84" s="3"/>
      <c r="F84" s="9"/>
      <c r="G84" s="27"/>
      <c r="H84" s="27"/>
      <c r="I84" s="27"/>
      <c r="J84" s="27"/>
      <c r="K84" s="27"/>
      <c r="M84" s="3"/>
      <c r="N84" s="9"/>
      <c r="O84" s="3"/>
      <c r="P84" s="3"/>
      <c r="R84" s="9"/>
    </row>
    <row r="85">
      <c r="A85" s="3"/>
      <c r="B85" s="9"/>
      <c r="C85" s="3"/>
      <c r="D85" s="3"/>
      <c r="F85" s="9"/>
      <c r="G85" s="27"/>
      <c r="H85" s="27"/>
      <c r="I85" s="27"/>
      <c r="J85" s="27"/>
      <c r="K85" s="27"/>
      <c r="M85" s="3"/>
      <c r="N85" s="9"/>
      <c r="O85" s="3"/>
      <c r="P85" s="3"/>
      <c r="R85" s="9"/>
    </row>
    <row r="86">
      <c r="A86" s="3"/>
      <c r="B86" s="9"/>
      <c r="C86" s="3"/>
      <c r="D86" s="3"/>
      <c r="F86" s="9"/>
      <c r="G86" s="27"/>
      <c r="H86" s="27"/>
      <c r="I86" s="27"/>
      <c r="J86" s="27"/>
      <c r="K86" s="27"/>
      <c r="M86" s="3"/>
      <c r="N86" s="9"/>
      <c r="O86" s="3"/>
      <c r="P86" s="3"/>
      <c r="R86" s="9"/>
    </row>
    <row r="87">
      <c r="A87" s="3"/>
      <c r="B87" s="9"/>
      <c r="C87" s="3"/>
      <c r="D87" s="3"/>
      <c r="F87" s="9"/>
      <c r="G87" s="27"/>
      <c r="H87" s="27"/>
      <c r="I87" s="27"/>
      <c r="J87" s="27"/>
      <c r="K87" s="27"/>
      <c r="M87" s="3"/>
      <c r="N87" s="9"/>
      <c r="O87" s="3"/>
      <c r="P87" s="3"/>
      <c r="R87" s="9"/>
    </row>
    <row r="88">
      <c r="A88" s="3"/>
      <c r="B88" s="9"/>
      <c r="C88" s="3"/>
      <c r="D88" s="3"/>
      <c r="F88" s="9"/>
      <c r="G88" s="22"/>
      <c r="H88" s="22"/>
      <c r="I88" s="22"/>
      <c r="J88" s="22"/>
      <c r="K88" s="22"/>
    </row>
    <row r="89">
      <c r="A89" s="3"/>
      <c r="B89" s="9"/>
      <c r="C89" s="3"/>
      <c r="D89" s="3"/>
      <c r="E89" s="3"/>
      <c r="F89" s="3"/>
      <c r="G89" s="3"/>
      <c r="H89" s="3"/>
      <c r="I89" s="3"/>
      <c r="J89" s="3"/>
      <c r="K89" s="3"/>
      <c r="L89" s="19"/>
    </row>
    <row r="90">
      <c r="A90" s="3"/>
      <c r="B90" s="1" t="s">
        <v>1</v>
      </c>
      <c r="C90" s="39" t="s">
        <v>41</v>
      </c>
      <c r="D90" s="39" t="s">
        <v>42</v>
      </c>
      <c r="E90" s="55" t="s">
        <v>2</v>
      </c>
      <c r="F90" s="55" t="s">
        <v>3</v>
      </c>
      <c r="G90" s="55" t="s">
        <v>4</v>
      </c>
      <c r="H90" s="55" t="s">
        <v>5</v>
      </c>
      <c r="I90" s="55" t="s">
        <v>6</v>
      </c>
      <c r="J90" s="55" t="s">
        <v>7</v>
      </c>
      <c r="K90" s="55" t="s">
        <v>8</v>
      </c>
      <c r="L90" s="58" t="s">
        <v>9</v>
      </c>
    </row>
    <row r="91">
      <c r="A91" s="3"/>
      <c r="B91" s="5" t="s">
        <v>11</v>
      </c>
      <c r="C91" s="6">
        <v>1024.0</v>
      </c>
      <c r="D91" s="9" t="s">
        <v>12</v>
      </c>
      <c r="E91" s="9" t="s">
        <v>12</v>
      </c>
      <c r="F91" s="9" t="s">
        <v>12</v>
      </c>
      <c r="G91" s="6">
        <v>1.44140842E8</v>
      </c>
      <c r="H91" s="6">
        <v>4.91247759E8</v>
      </c>
      <c r="I91" s="6">
        <v>489086.0</v>
      </c>
      <c r="J91" s="6">
        <v>0.0</v>
      </c>
      <c r="K91" s="6">
        <v>2475.0</v>
      </c>
      <c r="L91" s="19"/>
    </row>
    <row r="92">
      <c r="A92" s="3"/>
      <c r="B92" s="3"/>
      <c r="C92" s="13"/>
      <c r="D92" s="13"/>
      <c r="G92" s="22"/>
      <c r="H92" s="22"/>
      <c r="I92" s="22"/>
      <c r="J92" s="22"/>
      <c r="K92" s="22"/>
    </row>
    <row r="93">
      <c r="A93" s="3"/>
      <c r="B93" s="3"/>
      <c r="C93" s="9"/>
      <c r="D93" s="9">
        <v>256.0</v>
      </c>
      <c r="E93" s="24">
        <v>2.0</v>
      </c>
      <c r="F93" s="3" t="s">
        <v>14</v>
      </c>
      <c r="G93" s="27">
        <v>3.2454691E7</v>
      </c>
      <c r="H93" s="27">
        <v>4.319728E7</v>
      </c>
      <c r="I93" s="27">
        <v>51609.0</v>
      </c>
      <c r="J93" s="27">
        <v>1487.0</v>
      </c>
      <c r="K93" s="27">
        <v>535.0</v>
      </c>
      <c r="L93" s="57">
        <f>DIVIDE(K91,K93)</f>
        <v>4.626168224</v>
      </c>
    </row>
    <row r="94">
      <c r="A94" s="3"/>
      <c r="B94" s="3"/>
      <c r="C94" s="9"/>
      <c r="D94" s="9"/>
      <c r="F94" s="9" t="s">
        <v>15</v>
      </c>
      <c r="G94" s="27">
        <v>3.244235867E7</v>
      </c>
      <c r="H94" s="27">
        <v>4.3096362E7</v>
      </c>
      <c r="I94" s="27">
        <v>21440.33</v>
      </c>
      <c r="J94" s="27">
        <v>742.67</v>
      </c>
      <c r="K94" s="27">
        <v>531.0</v>
      </c>
      <c r="L94" s="57">
        <f>DIVIDE(K91,K94)</f>
        <v>4.661016949</v>
      </c>
    </row>
    <row r="95">
      <c r="A95" s="3"/>
      <c r="B95" s="3"/>
      <c r="C95" s="9"/>
      <c r="D95" s="9"/>
      <c r="F95" s="9" t="s">
        <v>16</v>
      </c>
      <c r="G95" s="27">
        <v>3.243065133E7</v>
      </c>
      <c r="H95" s="27">
        <v>4.304918667E7</v>
      </c>
      <c r="I95" s="27">
        <v>13419.33</v>
      </c>
      <c r="J95" s="27">
        <v>0.0</v>
      </c>
      <c r="K95" s="27">
        <v>525.0</v>
      </c>
      <c r="L95" s="57">
        <f t="shared" ref="L95:L110" si="5">($K$91/K95)</f>
        <v>4.714285714</v>
      </c>
    </row>
    <row r="96">
      <c r="A96" s="3"/>
      <c r="B96" s="3"/>
      <c r="C96" s="9"/>
      <c r="D96" s="9"/>
      <c r="E96" s="24">
        <v>4.0</v>
      </c>
      <c r="F96" s="3" t="s">
        <v>14</v>
      </c>
      <c r="G96" s="27">
        <v>3.2383561E7</v>
      </c>
      <c r="H96" s="27">
        <v>4.299404767E7</v>
      </c>
      <c r="I96" s="27">
        <v>13964.67</v>
      </c>
      <c r="J96" s="27">
        <v>1487.67</v>
      </c>
      <c r="K96" s="27">
        <v>528.33</v>
      </c>
      <c r="L96" s="57">
        <f t="shared" si="5"/>
        <v>4.684572142</v>
      </c>
    </row>
    <row r="97">
      <c r="A97" s="3"/>
      <c r="B97" s="3"/>
      <c r="C97" s="9"/>
      <c r="D97" s="9"/>
      <c r="F97" s="9" t="s">
        <v>15</v>
      </c>
      <c r="G97" s="27">
        <v>3.265600833E7</v>
      </c>
      <c r="H97" s="27">
        <v>4.370779233E7</v>
      </c>
      <c r="I97" s="27">
        <v>12958.33</v>
      </c>
      <c r="J97" s="27">
        <v>743.0</v>
      </c>
      <c r="K97" s="27">
        <v>527.33</v>
      </c>
      <c r="L97" s="57">
        <f t="shared" si="5"/>
        <v>4.693455711</v>
      </c>
    </row>
    <row r="98">
      <c r="A98" s="3"/>
      <c r="B98" s="3"/>
      <c r="C98" s="9"/>
      <c r="D98" s="9"/>
      <c r="F98" s="9" t="s">
        <v>16</v>
      </c>
      <c r="G98" s="27">
        <v>3.260894867E7</v>
      </c>
      <c r="H98" s="27">
        <v>4.3404735E7</v>
      </c>
      <c r="I98" s="27">
        <v>14018.67</v>
      </c>
      <c r="J98" s="27">
        <v>0.0</v>
      </c>
      <c r="K98" s="27">
        <v>567.0</v>
      </c>
      <c r="L98" s="57">
        <f t="shared" si="5"/>
        <v>4.365079365</v>
      </c>
    </row>
    <row r="99">
      <c r="A99" s="3"/>
      <c r="B99" s="3"/>
      <c r="C99" s="3"/>
      <c r="D99" s="3"/>
      <c r="E99" s="24">
        <v>8.0</v>
      </c>
      <c r="F99" s="3" t="s">
        <v>14</v>
      </c>
      <c r="G99" s="27">
        <v>3.241320833E7</v>
      </c>
      <c r="H99" s="27">
        <v>4.304884067E7</v>
      </c>
      <c r="I99" s="27">
        <v>12941.0</v>
      </c>
      <c r="J99" s="27">
        <v>1485.33</v>
      </c>
      <c r="K99" s="27">
        <v>532.0</v>
      </c>
      <c r="L99" s="57">
        <f t="shared" si="5"/>
        <v>4.652255639</v>
      </c>
    </row>
    <row r="100">
      <c r="A100" s="3"/>
      <c r="B100" s="3"/>
      <c r="C100" s="3"/>
      <c r="D100" s="3"/>
      <c r="F100" s="9" t="s">
        <v>15</v>
      </c>
      <c r="G100" s="27">
        <v>3.2489261E7</v>
      </c>
      <c r="H100" s="27">
        <v>4.332366633E7</v>
      </c>
      <c r="I100" s="27">
        <v>13450.0</v>
      </c>
      <c r="J100" s="27">
        <v>743.0</v>
      </c>
      <c r="K100" s="27">
        <v>521.0</v>
      </c>
      <c r="L100" s="57">
        <f t="shared" si="5"/>
        <v>4.750479846</v>
      </c>
    </row>
    <row r="101">
      <c r="A101" s="3"/>
      <c r="B101" s="3"/>
      <c r="C101" s="3"/>
      <c r="D101" s="3"/>
      <c r="F101" s="9" t="s">
        <v>16</v>
      </c>
      <c r="G101" s="27">
        <v>3.237677033E7</v>
      </c>
      <c r="H101" s="27">
        <v>4.297985667E7</v>
      </c>
      <c r="I101" s="27">
        <v>13420.67</v>
      </c>
      <c r="J101" s="27">
        <v>0.0</v>
      </c>
      <c r="K101" s="27">
        <v>540.67</v>
      </c>
      <c r="L101" s="57">
        <f t="shared" si="5"/>
        <v>4.577653652</v>
      </c>
    </row>
    <row r="102">
      <c r="A102" s="3"/>
      <c r="B102" s="3"/>
      <c r="C102" s="3"/>
      <c r="D102" s="3"/>
      <c r="E102" s="24">
        <v>16.0</v>
      </c>
      <c r="F102" s="3" t="s">
        <v>14</v>
      </c>
      <c r="G102" s="27">
        <v>3.247092067E7</v>
      </c>
      <c r="H102" s="27">
        <v>4.305604733E7</v>
      </c>
      <c r="I102" s="27">
        <v>12747.0</v>
      </c>
      <c r="J102" s="27">
        <v>1485.33</v>
      </c>
      <c r="K102" s="27">
        <v>537.33</v>
      </c>
      <c r="L102" s="57">
        <f t="shared" si="5"/>
        <v>4.606107978</v>
      </c>
    </row>
    <row r="103">
      <c r="A103" s="3"/>
      <c r="B103" s="3"/>
      <c r="C103" s="3"/>
      <c r="D103" s="3"/>
      <c r="F103" s="9" t="s">
        <v>15</v>
      </c>
      <c r="G103" s="27">
        <v>3.237598867E7</v>
      </c>
      <c r="H103" s="27">
        <v>4.298313567E7</v>
      </c>
      <c r="I103" s="27">
        <v>13603.0</v>
      </c>
      <c r="J103" s="27">
        <v>738.33</v>
      </c>
      <c r="K103" s="27">
        <v>557.67</v>
      </c>
      <c r="L103" s="57">
        <f t="shared" si="5"/>
        <v>4.438108559</v>
      </c>
    </row>
    <row r="104">
      <c r="A104" s="3"/>
      <c r="B104" s="3"/>
      <c r="C104" s="3"/>
      <c r="D104" s="3"/>
      <c r="F104" s="9" t="s">
        <v>16</v>
      </c>
      <c r="G104" s="27">
        <v>3.2438981E7</v>
      </c>
      <c r="H104" s="27">
        <v>4.305384433E7</v>
      </c>
      <c r="I104" s="27">
        <v>13797.67</v>
      </c>
      <c r="J104" s="27">
        <v>0.0</v>
      </c>
      <c r="K104" s="27">
        <v>534.33</v>
      </c>
      <c r="L104" s="57">
        <f t="shared" si="5"/>
        <v>4.631969008</v>
      </c>
    </row>
    <row r="105">
      <c r="A105" s="3"/>
      <c r="B105" s="3"/>
      <c r="C105" s="3"/>
      <c r="D105" s="3"/>
      <c r="E105" s="24">
        <v>32.0</v>
      </c>
      <c r="F105" s="3" t="s">
        <v>14</v>
      </c>
      <c r="G105" s="27">
        <v>3.260780767E7</v>
      </c>
      <c r="H105" s="27">
        <v>4.342575533E7</v>
      </c>
      <c r="I105" s="27">
        <v>13267.33</v>
      </c>
      <c r="J105" s="27">
        <v>1489.67</v>
      </c>
      <c r="K105" s="27">
        <v>533.67</v>
      </c>
      <c r="L105" s="57">
        <f t="shared" si="5"/>
        <v>4.637697453</v>
      </c>
    </row>
    <row r="106">
      <c r="A106" s="3"/>
      <c r="B106" s="3"/>
      <c r="C106" s="3"/>
      <c r="D106" s="3"/>
      <c r="F106" s="9" t="s">
        <v>15</v>
      </c>
      <c r="G106" s="27">
        <v>3.263047267E7</v>
      </c>
      <c r="H106" s="27">
        <v>4.364724767E7</v>
      </c>
      <c r="I106" s="27">
        <v>13047.67</v>
      </c>
      <c r="J106" s="27">
        <v>739.0</v>
      </c>
      <c r="K106" s="27">
        <v>541.0</v>
      </c>
      <c r="L106" s="57">
        <f t="shared" si="5"/>
        <v>4.574861368</v>
      </c>
    </row>
    <row r="107">
      <c r="A107" s="3"/>
      <c r="B107" s="3"/>
      <c r="C107" s="3"/>
      <c r="D107" s="3"/>
      <c r="F107" s="9" t="s">
        <v>16</v>
      </c>
      <c r="G107" s="27">
        <v>3.2475219E7</v>
      </c>
      <c r="H107" s="27">
        <v>4.330109533E7</v>
      </c>
      <c r="I107" s="27">
        <v>13274.0</v>
      </c>
      <c r="J107" s="27">
        <v>0.0</v>
      </c>
      <c r="K107" s="27">
        <v>533.33</v>
      </c>
      <c r="L107" s="57">
        <f t="shared" si="5"/>
        <v>4.640654004</v>
      </c>
    </row>
    <row r="108">
      <c r="A108" s="3"/>
      <c r="B108" s="9"/>
      <c r="C108" s="3"/>
      <c r="D108" s="3"/>
      <c r="E108" s="24">
        <v>64.0</v>
      </c>
      <c r="F108" s="3" t="s">
        <v>14</v>
      </c>
      <c r="G108" s="27">
        <v>3.260896867E7</v>
      </c>
      <c r="H108" s="27">
        <v>4.315886567E7</v>
      </c>
      <c r="I108" s="27">
        <v>13637.33</v>
      </c>
      <c r="J108" s="27">
        <v>1482.0</v>
      </c>
      <c r="K108" s="27">
        <v>531.67</v>
      </c>
      <c r="L108" s="57">
        <f t="shared" si="5"/>
        <v>4.655143228</v>
      </c>
    </row>
    <row r="109">
      <c r="A109" s="3"/>
      <c r="B109" s="9"/>
      <c r="C109" s="3"/>
      <c r="D109" s="3"/>
      <c r="F109" s="9" t="s">
        <v>15</v>
      </c>
      <c r="G109" s="27">
        <v>3.243995633E7</v>
      </c>
      <c r="H109" s="27">
        <v>4.3046449E7</v>
      </c>
      <c r="I109" s="27">
        <v>13987.67</v>
      </c>
      <c r="J109" s="27">
        <v>739.0</v>
      </c>
      <c r="K109" s="27">
        <v>538.0</v>
      </c>
      <c r="L109" s="57">
        <f t="shared" si="5"/>
        <v>4.600371747</v>
      </c>
    </row>
    <row r="110">
      <c r="A110" s="4" t="s">
        <v>10</v>
      </c>
      <c r="B110" s="9"/>
      <c r="C110" s="3"/>
      <c r="D110" s="3"/>
      <c r="F110" s="9" t="s">
        <v>16</v>
      </c>
      <c r="G110" s="27">
        <v>3.2538425E7</v>
      </c>
      <c r="H110" s="27">
        <v>4.340645367E7</v>
      </c>
      <c r="I110" s="27">
        <v>16169.0</v>
      </c>
      <c r="J110" s="27">
        <v>0.0</v>
      </c>
      <c r="K110" s="27">
        <v>527.33</v>
      </c>
      <c r="L110" s="57">
        <f t="shared" si="5"/>
        <v>4.693455711</v>
      </c>
    </row>
    <row r="111">
      <c r="A111" s="8"/>
      <c r="B111" s="9"/>
      <c r="C111" s="9"/>
      <c r="D111" s="9"/>
      <c r="E111" s="3"/>
      <c r="F111" s="9"/>
      <c r="G111" s="9"/>
      <c r="H111" s="9"/>
      <c r="I111" s="9"/>
      <c r="J111" s="9"/>
      <c r="K111" s="9"/>
      <c r="L111" s="19"/>
    </row>
    <row r="112">
      <c r="A112" s="8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19"/>
    </row>
    <row r="113">
      <c r="A113" s="8"/>
      <c r="B113" s="3"/>
      <c r="C113" s="13"/>
      <c r="D113" s="13"/>
      <c r="G113" s="22"/>
      <c r="H113" s="22"/>
      <c r="I113" s="22"/>
      <c r="J113" s="22"/>
      <c r="K113" s="22"/>
    </row>
    <row r="114">
      <c r="A114" s="8"/>
      <c r="B114" s="3"/>
      <c r="C114" s="9"/>
      <c r="D114" s="9">
        <v>128.0</v>
      </c>
      <c r="E114" s="24">
        <v>2.0</v>
      </c>
      <c r="F114" s="3" t="s">
        <v>14</v>
      </c>
      <c r="G114" s="27">
        <v>6.519629533E7</v>
      </c>
      <c r="H114" s="27">
        <v>8.7199911E7</v>
      </c>
      <c r="I114" s="27">
        <v>25024.0</v>
      </c>
      <c r="J114" s="27">
        <v>1488.33</v>
      </c>
      <c r="K114" s="27">
        <v>1557.0</v>
      </c>
      <c r="L114" s="57">
        <f t="shared" ref="L114:L131" si="6">($K$91/K114)</f>
        <v>1.589595376</v>
      </c>
    </row>
    <row r="115">
      <c r="A115" s="8"/>
      <c r="B115" s="3"/>
      <c r="C115" s="9"/>
      <c r="D115" s="9"/>
      <c r="F115" s="9" t="s">
        <v>15</v>
      </c>
      <c r="G115" s="27">
        <v>6.538455667E7</v>
      </c>
      <c r="H115" s="27">
        <v>8.755336067E7</v>
      </c>
      <c r="I115" s="27">
        <v>24001.33</v>
      </c>
      <c r="J115" s="27">
        <v>744.33</v>
      </c>
      <c r="K115" s="27">
        <v>1570.67</v>
      </c>
      <c r="L115" s="57">
        <f t="shared" si="6"/>
        <v>1.575760663</v>
      </c>
    </row>
    <row r="116">
      <c r="A116" s="8"/>
      <c r="B116" s="3"/>
      <c r="C116" s="9"/>
      <c r="D116" s="9"/>
      <c r="F116" s="9" t="s">
        <v>16</v>
      </c>
      <c r="G116" s="27">
        <v>6.495866133E7</v>
      </c>
      <c r="H116" s="27">
        <v>8.625704133E7</v>
      </c>
      <c r="I116" s="27">
        <v>24806.67</v>
      </c>
      <c r="J116" s="27">
        <v>0.0</v>
      </c>
      <c r="K116" s="27">
        <v>1531.67</v>
      </c>
      <c r="L116" s="57">
        <f t="shared" si="6"/>
        <v>1.615883317</v>
      </c>
    </row>
    <row r="117">
      <c r="A117" s="8"/>
      <c r="B117" s="3"/>
      <c r="C117" s="9"/>
      <c r="D117" s="9"/>
      <c r="E117" s="24">
        <v>4.0</v>
      </c>
      <c r="F117" s="3" t="s">
        <v>14</v>
      </c>
      <c r="G117" s="27">
        <v>6.4800958E7</v>
      </c>
      <c r="H117" s="27">
        <v>8.608249267E7</v>
      </c>
      <c r="I117" s="27">
        <v>24539.67</v>
      </c>
      <c r="J117" s="27">
        <v>1489.33</v>
      </c>
      <c r="K117" s="27">
        <v>1530.67</v>
      </c>
      <c r="L117" s="57">
        <f t="shared" si="6"/>
        <v>1.616938988</v>
      </c>
    </row>
    <row r="118">
      <c r="A118" s="8"/>
      <c r="B118" s="3"/>
      <c r="C118" s="9"/>
      <c r="D118" s="9"/>
      <c r="F118" s="9" t="s">
        <v>15</v>
      </c>
      <c r="G118" s="27">
        <v>6.526559867E7</v>
      </c>
      <c r="H118" s="27">
        <v>8.6788633E7</v>
      </c>
      <c r="I118" s="27">
        <v>23346.67</v>
      </c>
      <c r="J118" s="27">
        <v>742.33</v>
      </c>
      <c r="K118" s="27">
        <v>1559.33</v>
      </c>
      <c r="L118" s="57">
        <f t="shared" si="6"/>
        <v>1.587220152</v>
      </c>
    </row>
    <row r="119">
      <c r="A119" s="8"/>
      <c r="B119" s="3"/>
      <c r="C119" s="9"/>
      <c r="D119" s="9"/>
      <c r="F119" s="9" t="s">
        <v>16</v>
      </c>
      <c r="G119" s="27">
        <v>6.509334133E7</v>
      </c>
      <c r="H119" s="27">
        <v>8.673959567E7</v>
      </c>
      <c r="I119" s="27">
        <v>23545.67</v>
      </c>
      <c r="J119" s="27">
        <v>0.0</v>
      </c>
      <c r="K119" s="27">
        <v>1547.33</v>
      </c>
      <c r="L119" s="57">
        <f t="shared" si="6"/>
        <v>1.599529512</v>
      </c>
    </row>
    <row r="120">
      <c r="A120" s="8"/>
      <c r="B120" s="3"/>
      <c r="C120" s="3"/>
      <c r="D120" s="3"/>
      <c r="E120" s="24">
        <v>8.0</v>
      </c>
      <c r="F120" s="3" t="s">
        <v>14</v>
      </c>
      <c r="G120" s="27">
        <v>6.5044636E7</v>
      </c>
      <c r="H120" s="27">
        <v>8.666528033E7</v>
      </c>
      <c r="I120" s="27">
        <v>23362.67</v>
      </c>
      <c r="J120" s="27">
        <v>1488.0</v>
      </c>
      <c r="K120" s="27">
        <v>1565.67</v>
      </c>
      <c r="L120" s="57">
        <f t="shared" si="6"/>
        <v>1.580792887</v>
      </c>
    </row>
    <row r="121">
      <c r="A121" s="8"/>
      <c r="B121" s="3"/>
      <c r="C121" s="3"/>
      <c r="D121" s="3"/>
      <c r="F121" s="9" t="s">
        <v>15</v>
      </c>
      <c r="G121" s="27">
        <v>6.503373667E7</v>
      </c>
      <c r="H121" s="27">
        <v>8.6873273E7</v>
      </c>
      <c r="I121" s="27">
        <v>23632.67</v>
      </c>
      <c r="J121" s="27">
        <v>742.33</v>
      </c>
      <c r="K121" s="27">
        <v>1539.33</v>
      </c>
      <c r="L121" s="57">
        <f t="shared" si="6"/>
        <v>1.607842373</v>
      </c>
    </row>
    <row r="122">
      <c r="A122" s="8"/>
      <c r="B122" s="3"/>
      <c r="C122" s="3"/>
      <c r="D122" s="3"/>
      <c r="F122" s="9" t="s">
        <v>16</v>
      </c>
      <c r="G122" s="27">
        <v>6.479338567E7</v>
      </c>
      <c r="H122" s="27">
        <v>8.595431633E7</v>
      </c>
      <c r="I122" s="27">
        <v>25281.67</v>
      </c>
      <c r="J122" s="27">
        <v>0.0</v>
      </c>
      <c r="K122" s="27">
        <v>1557.33</v>
      </c>
      <c r="L122" s="57">
        <f t="shared" si="6"/>
        <v>1.589258539</v>
      </c>
    </row>
    <row r="123">
      <c r="A123" s="8"/>
      <c r="B123" s="3"/>
      <c r="C123" s="3"/>
      <c r="D123" s="3"/>
      <c r="E123" s="24">
        <v>16.0</v>
      </c>
      <c r="F123" s="3" t="s">
        <v>14</v>
      </c>
      <c r="G123" s="27">
        <v>6.4802871E7</v>
      </c>
      <c r="H123" s="27">
        <v>8.598745767E7</v>
      </c>
      <c r="I123" s="27">
        <v>24617.67</v>
      </c>
      <c r="J123" s="27">
        <v>1486.33</v>
      </c>
      <c r="K123" s="27">
        <v>1532.67</v>
      </c>
      <c r="L123" s="57">
        <f t="shared" si="6"/>
        <v>1.614829024</v>
      </c>
    </row>
    <row r="124">
      <c r="A124" s="8"/>
      <c r="B124" s="3"/>
      <c r="C124" s="3"/>
      <c r="D124" s="3"/>
      <c r="F124" s="9" t="s">
        <v>15</v>
      </c>
      <c r="G124" s="27">
        <v>6.495600167E7</v>
      </c>
      <c r="H124" s="27">
        <v>8.653812E7</v>
      </c>
      <c r="I124" s="27">
        <v>28537.33</v>
      </c>
      <c r="J124" s="27">
        <v>743.33</v>
      </c>
      <c r="K124" s="27">
        <v>1567.67</v>
      </c>
      <c r="L124" s="57">
        <f t="shared" si="6"/>
        <v>1.578776145</v>
      </c>
    </row>
    <row r="125">
      <c r="A125" s="8"/>
      <c r="B125" s="3"/>
      <c r="C125" s="3"/>
      <c r="D125" s="3"/>
      <c r="F125" s="9" t="s">
        <v>16</v>
      </c>
      <c r="G125" s="27">
        <v>6.473294833E7</v>
      </c>
      <c r="H125" s="27">
        <v>8.593748667E7</v>
      </c>
      <c r="I125" s="27">
        <v>26047.33</v>
      </c>
      <c r="J125" s="27">
        <v>0.0</v>
      </c>
      <c r="K125" s="27">
        <v>1568.33</v>
      </c>
      <c r="L125" s="57">
        <f t="shared" si="6"/>
        <v>1.578111749</v>
      </c>
    </row>
    <row r="126">
      <c r="A126" s="8"/>
      <c r="B126" s="3"/>
      <c r="C126" s="3"/>
      <c r="D126" s="3"/>
      <c r="E126" s="24">
        <v>32.0</v>
      </c>
      <c r="F126" s="3" t="s">
        <v>14</v>
      </c>
      <c r="G126" s="27">
        <v>6.520455633E7</v>
      </c>
      <c r="H126" s="27">
        <v>8.671339567E7</v>
      </c>
      <c r="I126" s="27">
        <v>26818.67</v>
      </c>
      <c r="J126" s="27">
        <v>1485.67</v>
      </c>
      <c r="K126" s="27">
        <v>1552.67</v>
      </c>
      <c r="L126" s="57">
        <f t="shared" si="6"/>
        <v>1.594028351</v>
      </c>
    </row>
    <row r="127">
      <c r="A127" s="8"/>
      <c r="B127" s="3"/>
      <c r="C127" s="3"/>
      <c r="D127" s="3"/>
      <c r="F127" s="9" t="s">
        <v>15</v>
      </c>
      <c r="G127" s="27">
        <v>6.497349467E7</v>
      </c>
      <c r="H127" s="27">
        <v>8.655343833E7</v>
      </c>
      <c r="I127" s="27">
        <v>26528.0</v>
      </c>
      <c r="J127" s="27">
        <v>742.33</v>
      </c>
      <c r="K127" s="27">
        <v>1563.33</v>
      </c>
      <c r="L127" s="57">
        <f t="shared" si="6"/>
        <v>1.583159026</v>
      </c>
    </row>
    <row r="128">
      <c r="A128" s="8"/>
      <c r="B128" s="3"/>
      <c r="C128" s="3"/>
      <c r="D128" s="3"/>
      <c r="F128" s="9" t="s">
        <v>16</v>
      </c>
      <c r="G128" s="27">
        <v>6.493391267E7</v>
      </c>
      <c r="H128" s="27">
        <v>8.611154967E7</v>
      </c>
      <c r="I128" s="27">
        <v>30494.67</v>
      </c>
      <c r="J128" s="27">
        <v>0.0</v>
      </c>
      <c r="K128" s="27">
        <v>1542.67</v>
      </c>
      <c r="L128" s="57">
        <f t="shared" si="6"/>
        <v>1.60436127</v>
      </c>
    </row>
    <row r="129">
      <c r="A129" s="8"/>
      <c r="B129" s="9"/>
      <c r="C129" s="3"/>
      <c r="D129" s="3"/>
      <c r="E129" s="24">
        <v>64.0</v>
      </c>
      <c r="F129" s="3" t="s">
        <v>14</v>
      </c>
      <c r="G129" s="27">
        <v>6.4724819E7</v>
      </c>
      <c r="H129" s="27">
        <v>8.590530467E7</v>
      </c>
      <c r="I129" s="27">
        <v>29682.67</v>
      </c>
      <c r="J129" s="27">
        <v>1485.0</v>
      </c>
      <c r="K129" s="27">
        <v>1567.0</v>
      </c>
      <c r="L129" s="57">
        <f t="shared" si="6"/>
        <v>1.579451181</v>
      </c>
    </row>
    <row r="130">
      <c r="A130" s="8"/>
      <c r="B130" s="9"/>
      <c r="C130" s="3"/>
      <c r="D130" s="3"/>
      <c r="F130" s="9" t="s">
        <v>15</v>
      </c>
      <c r="G130" s="27">
        <v>6.514613333E7</v>
      </c>
      <c r="H130" s="27">
        <v>8.676842667E7</v>
      </c>
      <c r="I130" s="27">
        <v>32636.67</v>
      </c>
      <c r="J130" s="27">
        <v>740.33</v>
      </c>
      <c r="K130" s="27">
        <v>1569.33</v>
      </c>
      <c r="L130" s="57">
        <f t="shared" si="6"/>
        <v>1.577106154</v>
      </c>
    </row>
    <row r="131">
      <c r="A131" s="8"/>
      <c r="B131" s="9"/>
      <c r="C131" s="3"/>
      <c r="D131" s="3"/>
      <c r="F131" s="9" t="s">
        <v>16</v>
      </c>
      <c r="G131" s="27">
        <v>6.482613233E7</v>
      </c>
      <c r="H131" s="27">
        <v>8.608170667E7</v>
      </c>
      <c r="I131" s="27">
        <v>29082.67</v>
      </c>
      <c r="J131" s="27">
        <v>0.0</v>
      </c>
      <c r="K131" s="27">
        <v>1562.67</v>
      </c>
      <c r="L131" s="57">
        <f t="shared" si="6"/>
        <v>1.58382768</v>
      </c>
    </row>
    <row r="132">
      <c r="A132" s="8"/>
      <c r="B132" s="3"/>
      <c r="C132" s="3"/>
      <c r="D132" s="3"/>
      <c r="F132" s="9"/>
      <c r="G132" s="22"/>
      <c r="H132" s="22"/>
      <c r="I132" s="22"/>
      <c r="J132" s="22"/>
      <c r="K132" s="22"/>
    </row>
    <row r="133">
      <c r="A133" s="8"/>
      <c r="B133" s="9"/>
      <c r="C133" s="3"/>
      <c r="D133" s="3"/>
      <c r="F133" s="3"/>
      <c r="G133" s="22"/>
      <c r="H133" s="22"/>
      <c r="I133" s="22"/>
      <c r="J133" s="22"/>
      <c r="K133" s="22"/>
    </row>
    <row r="134">
      <c r="A134" s="8"/>
      <c r="B134" s="1" t="s">
        <v>1</v>
      </c>
      <c r="C134" s="39" t="s">
        <v>41</v>
      </c>
      <c r="D134" s="39" t="s">
        <v>42</v>
      </c>
      <c r="E134" s="55" t="s">
        <v>2</v>
      </c>
      <c r="F134" s="55" t="s">
        <v>3</v>
      </c>
      <c r="G134" s="55" t="s">
        <v>4</v>
      </c>
      <c r="H134" s="55" t="s">
        <v>5</v>
      </c>
      <c r="I134" s="55" t="s">
        <v>6</v>
      </c>
      <c r="J134" s="55" t="s">
        <v>7</v>
      </c>
      <c r="K134" s="55" t="s">
        <v>8</v>
      </c>
      <c r="L134" s="58" t="s">
        <v>9</v>
      </c>
    </row>
    <row r="135">
      <c r="A135" s="8"/>
      <c r="B135" s="5" t="s">
        <v>11</v>
      </c>
      <c r="C135" s="6">
        <v>1500.0</v>
      </c>
      <c r="D135" s="9" t="s">
        <v>12</v>
      </c>
      <c r="E135" s="9" t="s">
        <v>12</v>
      </c>
      <c r="F135" s="9" t="s">
        <v>12</v>
      </c>
      <c r="G135" s="6">
        <v>2.13915142E8</v>
      </c>
      <c r="H135" s="6">
        <v>2.39087358E8</v>
      </c>
      <c r="I135" s="6">
        <v>665106.0</v>
      </c>
      <c r="J135" s="6">
        <v>0.0</v>
      </c>
      <c r="K135" s="6">
        <v>3582.0</v>
      </c>
      <c r="L135" s="19"/>
    </row>
    <row r="136">
      <c r="A136" s="8"/>
      <c r="B136" s="3"/>
      <c r="C136" s="13"/>
      <c r="D136" s="13"/>
      <c r="G136" s="22"/>
      <c r="H136" s="22"/>
      <c r="I136" s="22"/>
      <c r="J136" s="22"/>
      <c r="K136" s="22"/>
    </row>
    <row r="137">
      <c r="A137" s="8"/>
      <c r="B137" s="3"/>
      <c r="C137" s="9"/>
      <c r="D137" s="9">
        <v>256.0</v>
      </c>
      <c r="E137" s="24">
        <v>2.0</v>
      </c>
      <c r="F137" s="3" t="s">
        <v>14</v>
      </c>
      <c r="G137" s="27">
        <v>9.491462967E7</v>
      </c>
      <c r="H137" s="27">
        <v>1.26037727E8</v>
      </c>
      <c r="I137" s="27">
        <v>50071.0</v>
      </c>
      <c r="J137" s="27">
        <v>1489.67</v>
      </c>
      <c r="K137" s="27">
        <v>1385.67</v>
      </c>
      <c r="L137" s="57">
        <f t="shared" ref="L137:L154" si="7">($K$135/K137)</f>
        <v>2.585031068</v>
      </c>
    </row>
    <row r="138">
      <c r="A138" s="8"/>
      <c r="B138" s="3"/>
      <c r="C138" s="9"/>
      <c r="D138" s="9"/>
      <c r="F138" s="9" t="s">
        <v>15</v>
      </c>
      <c r="G138" s="27">
        <v>9.5043067E7</v>
      </c>
      <c r="H138" s="27">
        <v>1.2671755E8</v>
      </c>
      <c r="I138" s="27">
        <v>43878.67</v>
      </c>
      <c r="J138" s="27">
        <v>759.0</v>
      </c>
      <c r="K138" s="27">
        <v>1410.67</v>
      </c>
      <c r="L138" s="57">
        <f t="shared" si="7"/>
        <v>2.539218953</v>
      </c>
    </row>
    <row r="139">
      <c r="A139" s="8"/>
      <c r="B139" s="3"/>
      <c r="C139" s="9"/>
      <c r="D139" s="9"/>
      <c r="F139" s="9" t="s">
        <v>16</v>
      </c>
      <c r="G139" s="27">
        <v>9.507748267E7</v>
      </c>
      <c r="H139" s="27">
        <v>1.2624645267E8</v>
      </c>
      <c r="I139" s="27">
        <v>36126.0</v>
      </c>
      <c r="J139" s="27">
        <v>0.0</v>
      </c>
      <c r="K139" s="27">
        <v>1380.0</v>
      </c>
      <c r="L139" s="57">
        <f t="shared" si="7"/>
        <v>2.595652174</v>
      </c>
    </row>
    <row r="140">
      <c r="A140" s="8"/>
      <c r="B140" s="3"/>
      <c r="C140" s="9"/>
      <c r="D140" s="9"/>
      <c r="E140" s="24">
        <v>4.0</v>
      </c>
      <c r="F140" s="3" t="s">
        <v>14</v>
      </c>
      <c r="G140" s="27">
        <v>9.557487733E7</v>
      </c>
      <c r="H140" s="27">
        <v>1.27682448E8</v>
      </c>
      <c r="I140" s="27">
        <v>44696.0</v>
      </c>
      <c r="J140" s="27">
        <v>1488.67</v>
      </c>
      <c r="K140" s="27">
        <v>1429.67</v>
      </c>
      <c r="L140" s="57">
        <f t="shared" si="7"/>
        <v>2.505473291</v>
      </c>
    </row>
    <row r="141">
      <c r="A141" s="8"/>
      <c r="B141" s="3"/>
      <c r="C141" s="9"/>
      <c r="D141" s="9"/>
      <c r="F141" s="9" t="s">
        <v>15</v>
      </c>
      <c r="G141" s="27">
        <v>9.538979167E7</v>
      </c>
      <c r="H141" s="27">
        <v>1.2699314633E8</v>
      </c>
      <c r="I141" s="27">
        <v>41775.0</v>
      </c>
      <c r="J141" s="27">
        <v>755.67</v>
      </c>
      <c r="K141" s="27">
        <v>1401.33</v>
      </c>
      <c r="L141" s="57">
        <f t="shared" si="7"/>
        <v>2.556143093</v>
      </c>
    </row>
    <row r="142">
      <c r="A142" s="8"/>
      <c r="B142" s="3"/>
      <c r="C142" s="9"/>
      <c r="D142" s="9"/>
      <c r="F142" s="9" t="s">
        <v>16</v>
      </c>
      <c r="G142" s="27">
        <v>9.477413E7</v>
      </c>
      <c r="H142" s="27">
        <v>1.2579883967E8</v>
      </c>
      <c r="I142" s="27">
        <v>52855.33</v>
      </c>
      <c r="J142" s="27">
        <v>0.0</v>
      </c>
      <c r="K142" s="27">
        <v>1406.0</v>
      </c>
      <c r="L142" s="57">
        <f t="shared" si="7"/>
        <v>2.547652916</v>
      </c>
    </row>
    <row r="143">
      <c r="A143" s="8"/>
      <c r="B143" s="3"/>
      <c r="C143" s="3"/>
      <c r="D143" s="3"/>
      <c r="E143" s="24">
        <v>8.0</v>
      </c>
      <c r="F143" s="3" t="s">
        <v>14</v>
      </c>
      <c r="G143" s="27">
        <v>9.5042662E7</v>
      </c>
      <c r="H143" s="27">
        <v>1.2618370867E8</v>
      </c>
      <c r="I143" s="27">
        <v>53180.67</v>
      </c>
      <c r="J143" s="27">
        <v>1489.33</v>
      </c>
      <c r="K143" s="27">
        <v>1399.0</v>
      </c>
      <c r="L143" s="57">
        <f t="shared" si="7"/>
        <v>2.560400286</v>
      </c>
    </row>
    <row r="144">
      <c r="A144" s="8"/>
      <c r="B144" s="3"/>
      <c r="C144" s="3"/>
      <c r="D144" s="3"/>
      <c r="F144" s="9" t="s">
        <v>15</v>
      </c>
      <c r="G144" s="27">
        <v>9.486729833E7</v>
      </c>
      <c r="H144" s="27">
        <v>1.2580101667E8</v>
      </c>
      <c r="I144" s="27">
        <v>43313.33</v>
      </c>
      <c r="J144" s="27">
        <v>758.67</v>
      </c>
      <c r="K144" s="27">
        <v>1425.33</v>
      </c>
      <c r="L144" s="57">
        <f t="shared" si="7"/>
        <v>2.513102229</v>
      </c>
    </row>
    <row r="145">
      <c r="A145" s="8"/>
      <c r="B145" s="3"/>
      <c r="C145" s="3"/>
      <c r="D145" s="3"/>
      <c r="F145" s="9" t="s">
        <v>16</v>
      </c>
      <c r="G145" s="27">
        <v>9.5170125E7</v>
      </c>
      <c r="H145" s="27">
        <v>1.2614189767E8</v>
      </c>
      <c r="I145" s="27">
        <v>36013.0</v>
      </c>
      <c r="J145" s="27">
        <v>0.0</v>
      </c>
      <c r="K145" s="27">
        <v>1428.67</v>
      </c>
      <c r="L145" s="57">
        <f t="shared" si="7"/>
        <v>2.507227001</v>
      </c>
    </row>
    <row r="146">
      <c r="A146" s="8"/>
      <c r="B146" s="3"/>
      <c r="C146" s="3"/>
      <c r="D146" s="3"/>
      <c r="E146" s="24">
        <v>16.0</v>
      </c>
      <c r="F146" s="3" t="s">
        <v>14</v>
      </c>
      <c r="G146" s="27">
        <v>9.553227967E7</v>
      </c>
      <c r="H146" s="27">
        <v>1.2784741133E8</v>
      </c>
      <c r="I146" s="27">
        <v>48387.0</v>
      </c>
      <c r="J146" s="27">
        <v>1489.0</v>
      </c>
      <c r="K146" s="27">
        <v>1435.67</v>
      </c>
      <c r="L146" s="57">
        <f t="shared" si="7"/>
        <v>2.495002333</v>
      </c>
    </row>
    <row r="147">
      <c r="A147" s="8"/>
      <c r="B147" s="3"/>
      <c r="C147" s="3"/>
      <c r="D147" s="3"/>
      <c r="F147" s="9" t="s">
        <v>15</v>
      </c>
      <c r="G147" s="27">
        <v>9.496123133E7</v>
      </c>
      <c r="H147" s="27">
        <v>1.25979209E8</v>
      </c>
      <c r="I147" s="27">
        <v>39543.33</v>
      </c>
      <c r="J147" s="27">
        <v>759.0</v>
      </c>
      <c r="K147" s="27">
        <v>1412.0</v>
      </c>
      <c r="L147" s="57">
        <f t="shared" si="7"/>
        <v>2.536827195</v>
      </c>
    </row>
    <row r="148">
      <c r="A148" s="8"/>
      <c r="B148" s="3"/>
      <c r="C148" s="3"/>
      <c r="D148" s="3"/>
      <c r="F148" s="9" t="s">
        <v>16</v>
      </c>
      <c r="G148" s="27">
        <v>9.4851773E7</v>
      </c>
      <c r="H148" s="27">
        <v>1.25944591E8</v>
      </c>
      <c r="I148" s="27">
        <v>54431.0</v>
      </c>
      <c r="J148" s="27">
        <v>0.0</v>
      </c>
      <c r="K148" s="27">
        <v>1428.33</v>
      </c>
      <c r="L148" s="57">
        <f t="shared" si="7"/>
        <v>2.507823822</v>
      </c>
    </row>
    <row r="149">
      <c r="A149" s="8"/>
      <c r="B149" s="3"/>
      <c r="C149" s="3"/>
      <c r="D149" s="3"/>
      <c r="E149" s="24">
        <v>32.0</v>
      </c>
      <c r="F149" s="3" t="s">
        <v>14</v>
      </c>
      <c r="G149" s="27">
        <v>9.5013142E7</v>
      </c>
      <c r="H149" s="27">
        <v>1.2608823333E8</v>
      </c>
      <c r="I149" s="27">
        <v>53208.33</v>
      </c>
      <c r="J149" s="27">
        <v>1488.33</v>
      </c>
      <c r="K149" s="27">
        <v>1419.0</v>
      </c>
      <c r="L149" s="57">
        <f t="shared" si="7"/>
        <v>2.524312896</v>
      </c>
    </row>
    <row r="150">
      <c r="A150" s="8"/>
      <c r="B150" s="3"/>
      <c r="C150" s="3"/>
      <c r="D150" s="3"/>
      <c r="F150" s="9" t="s">
        <v>15</v>
      </c>
      <c r="G150" s="27">
        <v>9.494185667E7</v>
      </c>
      <c r="H150" s="27">
        <v>1.26006863E8</v>
      </c>
      <c r="I150" s="27">
        <v>37203.67</v>
      </c>
      <c r="J150" s="27">
        <v>747.67</v>
      </c>
      <c r="K150" s="27">
        <v>1402.0</v>
      </c>
      <c r="L150" s="57">
        <f t="shared" si="7"/>
        <v>2.554921541</v>
      </c>
    </row>
    <row r="151">
      <c r="A151" s="8"/>
      <c r="B151" s="3"/>
      <c r="C151" s="3"/>
      <c r="D151" s="3"/>
      <c r="F151" s="9" t="s">
        <v>16</v>
      </c>
      <c r="G151" s="27">
        <v>9.526163033E7</v>
      </c>
      <c r="H151" s="27">
        <v>1.2692429633E8</v>
      </c>
      <c r="I151" s="27">
        <v>38740.0</v>
      </c>
      <c r="J151" s="27">
        <v>0.0</v>
      </c>
      <c r="K151" s="27">
        <v>1410.67</v>
      </c>
      <c r="L151" s="57">
        <f t="shared" si="7"/>
        <v>2.539218953</v>
      </c>
    </row>
    <row r="152">
      <c r="A152" s="8"/>
      <c r="B152" s="9"/>
      <c r="C152" s="3"/>
      <c r="D152" s="3"/>
      <c r="E152" s="24">
        <v>64.0</v>
      </c>
      <c r="F152" s="3" t="s">
        <v>14</v>
      </c>
      <c r="G152" s="27">
        <v>9.486665567E7</v>
      </c>
      <c r="H152" s="27">
        <v>1.2589473067E8</v>
      </c>
      <c r="I152" s="27">
        <v>56831.0</v>
      </c>
      <c r="J152" s="27">
        <v>1486.67</v>
      </c>
      <c r="K152" s="27">
        <v>1436.67</v>
      </c>
      <c r="L152" s="57">
        <f t="shared" si="7"/>
        <v>2.493265677</v>
      </c>
    </row>
    <row r="153">
      <c r="A153" s="8"/>
      <c r="B153" s="9"/>
      <c r="C153" s="3"/>
      <c r="D153" s="3"/>
      <c r="F153" s="9" t="s">
        <v>15</v>
      </c>
      <c r="G153" s="27">
        <v>9.5088299E7</v>
      </c>
      <c r="H153" s="27">
        <v>1.26060939E8</v>
      </c>
      <c r="I153" s="27">
        <v>51083.67</v>
      </c>
      <c r="J153" s="27">
        <v>756.33</v>
      </c>
      <c r="K153" s="27">
        <v>1427.67</v>
      </c>
      <c r="L153" s="57">
        <f t="shared" si="7"/>
        <v>2.508983168</v>
      </c>
    </row>
    <row r="154">
      <c r="A154" s="8"/>
      <c r="B154" s="9"/>
      <c r="C154" s="3"/>
      <c r="D154" s="3"/>
      <c r="F154" s="9" t="s">
        <v>16</v>
      </c>
      <c r="G154" s="27">
        <v>9.5268509E7</v>
      </c>
      <c r="H154" s="27">
        <v>1.2695924933E8</v>
      </c>
      <c r="I154" s="27">
        <v>50002.0</v>
      </c>
      <c r="J154" s="27">
        <v>0.0</v>
      </c>
      <c r="K154" s="27">
        <v>1465.0</v>
      </c>
      <c r="L154" s="57">
        <f t="shared" si="7"/>
        <v>2.445051195</v>
      </c>
    </row>
    <row r="155">
      <c r="A155" s="8"/>
      <c r="B155" s="9"/>
      <c r="C155" s="9"/>
      <c r="D155" s="9"/>
      <c r="E155" s="3"/>
      <c r="F155" s="9"/>
      <c r="G155" s="9"/>
      <c r="H155" s="9"/>
      <c r="I155" s="9"/>
      <c r="J155" s="9"/>
      <c r="K155" s="9"/>
      <c r="L155" s="19"/>
    </row>
    <row r="156">
      <c r="A156" s="8"/>
      <c r="B156" s="5"/>
      <c r="C156" s="6"/>
      <c r="D156" s="6" t="s">
        <v>12</v>
      </c>
      <c r="E156" s="6" t="s">
        <v>12</v>
      </c>
      <c r="F156" s="6" t="s">
        <v>12</v>
      </c>
      <c r="G156" s="6"/>
      <c r="H156" s="6"/>
      <c r="I156" s="6"/>
      <c r="J156" s="6"/>
      <c r="K156" s="6"/>
      <c r="L156" s="19"/>
    </row>
    <row r="157">
      <c r="A157" s="8"/>
      <c r="B157" s="3"/>
      <c r="C157" s="13"/>
      <c r="D157" s="13"/>
      <c r="G157" s="22"/>
      <c r="H157" s="22"/>
      <c r="I157" s="22"/>
      <c r="J157" s="22"/>
      <c r="K157" s="22"/>
    </row>
    <row r="158">
      <c r="A158" s="8"/>
      <c r="B158" s="3"/>
      <c r="C158" s="9"/>
      <c r="D158" s="9">
        <v>128.0</v>
      </c>
      <c r="E158" s="24">
        <v>2.0</v>
      </c>
      <c r="F158" s="3" t="s">
        <v>14</v>
      </c>
      <c r="G158" s="27">
        <v>9.516067167E7</v>
      </c>
      <c r="H158" s="27">
        <v>1.26759793E8</v>
      </c>
      <c r="I158" s="27">
        <v>40335.33</v>
      </c>
      <c r="J158" s="27">
        <v>1485.33</v>
      </c>
      <c r="K158" s="27">
        <v>2301.0</v>
      </c>
      <c r="L158" s="57">
        <f t="shared" ref="L158:L175" si="8">($K$135/K158)</f>
        <v>1.556714472</v>
      </c>
    </row>
    <row r="159">
      <c r="A159" s="8"/>
      <c r="B159" s="3"/>
      <c r="C159" s="9"/>
      <c r="D159" s="9"/>
      <c r="F159" s="9" t="s">
        <v>15</v>
      </c>
      <c r="G159" s="27">
        <v>9.5536372E7</v>
      </c>
      <c r="H159" s="27">
        <v>1.2782347167E8</v>
      </c>
      <c r="I159" s="27">
        <v>43382.33</v>
      </c>
      <c r="J159" s="27">
        <v>742.0</v>
      </c>
      <c r="K159" s="27">
        <v>2304.67</v>
      </c>
      <c r="L159" s="57">
        <f t="shared" si="8"/>
        <v>1.55423553</v>
      </c>
    </row>
    <row r="160">
      <c r="A160" s="8"/>
      <c r="B160" s="3"/>
      <c r="C160" s="9"/>
      <c r="D160" s="9"/>
      <c r="F160" s="9" t="s">
        <v>16</v>
      </c>
      <c r="G160" s="27">
        <v>9.526965E7</v>
      </c>
      <c r="H160" s="27">
        <v>1.2679207033E8</v>
      </c>
      <c r="I160" s="27">
        <v>39156.33</v>
      </c>
      <c r="J160" s="27">
        <v>0.0</v>
      </c>
      <c r="K160" s="27">
        <v>2297.0</v>
      </c>
      <c r="L160" s="57">
        <f t="shared" si="8"/>
        <v>1.559425337</v>
      </c>
    </row>
    <row r="161">
      <c r="A161" s="8"/>
      <c r="B161" s="3"/>
      <c r="C161" s="9"/>
      <c r="D161" s="9"/>
      <c r="E161" s="24">
        <v>4.0</v>
      </c>
      <c r="F161" s="3" t="s">
        <v>14</v>
      </c>
      <c r="G161" s="27">
        <v>9.481034167E7</v>
      </c>
      <c r="H161" s="27">
        <v>1.2587341733E8</v>
      </c>
      <c r="I161" s="27">
        <v>48612.67</v>
      </c>
      <c r="J161" s="27">
        <v>1484.67</v>
      </c>
      <c r="K161" s="27">
        <v>2309.67</v>
      </c>
      <c r="L161" s="57">
        <f t="shared" si="8"/>
        <v>1.550870904</v>
      </c>
    </row>
    <row r="162">
      <c r="A162" s="8"/>
      <c r="B162" s="3"/>
      <c r="C162" s="9"/>
      <c r="D162" s="9"/>
      <c r="F162" s="9" t="s">
        <v>15</v>
      </c>
      <c r="G162" s="27">
        <v>9.507425133E7</v>
      </c>
      <c r="H162" s="27">
        <v>1.26073883E8</v>
      </c>
      <c r="I162" s="27">
        <v>39598.67</v>
      </c>
      <c r="J162" s="27">
        <v>741.0</v>
      </c>
      <c r="K162" s="27">
        <v>2292.67</v>
      </c>
      <c r="L162" s="57">
        <f t="shared" si="8"/>
        <v>1.562370511</v>
      </c>
    </row>
    <row r="163">
      <c r="A163" s="8"/>
      <c r="B163" s="3"/>
      <c r="C163" s="9"/>
      <c r="D163" s="9"/>
      <c r="F163" s="9" t="s">
        <v>16</v>
      </c>
      <c r="G163" s="27">
        <v>9.490837367E7</v>
      </c>
      <c r="H163" s="27">
        <v>1.2593842633E8</v>
      </c>
      <c r="I163" s="27">
        <v>37932.0</v>
      </c>
      <c r="J163" s="27">
        <v>0.0</v>
      </c>
      <c r="K163" s="27">
        <v>2304.33</v>
      </c>
      <c r="L163" s="57">
        <f t="shared" si="8"/>
        <v>1.554464855</v>
      </c>
    </row>
    <row r="164">
      <c r="A164" s="8"/>
      <c r="B164" s="3"/>
      <c r="C164" s="3"/>
      <c r="D164" s="3"/>
      <c r="E164" s="24">
        <v>8.0</v>
      </c>
      <c r="F164" s="3" t="s">
        <v>14</v>
      </c>
      <c r="G164" s="27">
        <v>9.501989933E7</v>
      </c>
      <c r="H164" s="27">
        <v>1.2606476967E8</v>
      </c>
      <c r="I164" s="27">
        <v>41367.33</v>
      </c>
      <c r="J164" s="27">
        <v>1488.0</v>
      </c>
      <c r="K164" s="27">
        <v>2299.0</v>
      </c>
      <c r="L164" s="57">
        <f t="shared" si="8"/>
        <v>1.558068726</v>
      </c>
    </row>
    <row r="165">
      <c r="A165" s="8"/>
      <c r="B165" s="3"/>
      <c r="C165" s="3"/>
      <c r="D165" s="3"/>
      <c r="F165" s="9" t="s">
        <v>15</v>
      </c>
      <c r="G165" s="27">
        <v>9.545214467E7</v>
      </c>
      <c r="H165" s="27">
        <v>1.2771534833E8</v>
      </c>
      <c r="I165" s="27">
        <v>43765.67</v>
      </c>
      <c r="J165" s="27">
        <v>740.0</v>
      </c>
      <c r="K165" s="27">
        <v>2312.67</v>
      </c>
      <c r="L165" s="57">
        <f t="shared" si="8"/>
        <v>1.548859111</v>
      </c>
    </row>
    <row r="166">
      <c r="A166" s="8"/>
      <c r="B166" s="3"/>
      <c r="C166" s="3"/>
      <c r="D166" s="3"/>
      <c r="F166" s="9" t="s">
        <v>16</v>
      </c>
      <c r="G166" s="27">
        <v>9.505880633E7</v>
      </c>
      <c r="H166" s="27">
        <v>1.2600174933E8</v>
      </c>
      <c r="I166" s="27">
        <v>42266.67</v>
      </c>
      <c r="J166" s="27">
        <v>0.0</v>
      </c>
      <c r="K166" s="27">
        <v>2294.0</v>
      </c>
      <c r="L166" s="57">
        <f t="shared" si="8"/>
        <v>1.56146469</v>
      </c>
    </row>
    <row r="167">
      <c r="A167" s="8"/>
      <c r="B167" s="3"/>
      <c r="C167" s="3"/>
      <c r="D167" s="3"/>
      <c r="E167" s="24">
        <v>16.0</v>
      </c>
      <c r="F167" s="3" t="s">
        <v>14</v>
      </c>
      <c r="G167" s="27">
        <v>9.513133133E7</v>
      </c>
      <c r="H167" s="27">
        <v>1.2680704467E8</v>
      </c>
      <c r="I167" s="27">
        <v>46629.67</v>
      </c>
      <c r="J167" s="27">
        <v>1483.33</v>
      </c>
      <c r="K167" s="27">
        <v>2318.67</v>
      </c>
      <c r="L167" s="57">
        <f t="shared" si="8"/>
        <v>1.544851143</v>
      </c>
    </row>
    <row r="168">
      <c r="A168" s="8"/>
      <c r="B168" s="3"/>
      <c r="C168" s="3"/>
      <c r="D168" s="3"/>
      <c r="F168" s="9" t="s">
        <v>15</v>
      </c>
      <c r="G168" s="27">
        <v>9.5039688E7</v>
      </c>
      <c r="H168" s="27">
        <v>1.2607488133E8</v>
      </c>
      <c r="I168" s="27">
        <v>44752.67</v>
      </c>
      <c r="J168" s="27">
        <v>737.67</v>
      </c>
      <c r="K168" s="27">
        <v>2308.67</v>
      </c>
      <c r="L168" s="57">
        <f t="shared" si="8"/>
        <v>1.551542663</v>
      </c>
    </row>
    <row r="169">
      <c r="A169" s="8"/>
      <c r="B169" s="3"/>
      <c r="C169" s="3"/>
      <c r="D169" s="3"/>
      <c r="F169" s="9" t="s">
        <v>16</v>
      </c>
      <c r="G169" s="27">
        <v>9.507509633E7</v>
      </c>
      <c r="H169" s="27">
        <v>1.2601156767E8</v>
      </c>
      <c r="I169" s="27">
        <v>50990.33</v>
      </c>
      <c r="J169" s="27">
        <v>0.0</v>
      </c>
      <c r="K169" s="27">
        <v>2296.33</v>
      </c>
      <c r="L169" s="57">
        <f t="shared" si="8"/>
        <v>1.559880331</v>
      </c>
    </row>
    <row r="170">
      <c r="A170" s="8"/>
      <c r="B170" s="3"/>
      <c r="C170" s="3"/>
      <c r="D170" s="3"/>
      <c r="E170" s="24">
        <v>32.0</v>
      </c>
      <c r="F170" s="3" t="s">
        <v>14</v>
      </c>
      <c r="G170" s="27">
        <v>9.4982857E7</v>
      </c>
      <c r="H170" s="27">
        <v>1.2595035567E8</v>
      </c>
      <c r="I170" s="27">
        <v>53684.0</v>
      </c>
      <c r="J170" s="27">
        <v>1483.0</v>
      </c>
      <c r="K170" s="27">
        <v>2342.67</v>
      </c>
      <c r="L170" s="57">
        <f t="shared" si="8"/>
        <v>1.529024575</v>
      </c>
    </row>
    <row r="171">
      <c r="A171" s="8"/>
      <c r="B171" s="3"/>
      <c r="C171" s="3"/>
      <c r="D171" s="3"/>
      <c r="F171" s="9" t="s">
        <v>15</v>
      </c>
      <c r="G171" s="27">
        <v>9.5458149E7</v>
      </c>
      <c r="H171" s="27">
        <v>1.2785039233E8</v>
      </c>
      <c r="I171" s="27">
        <v>36369.67</v>
      </c>
      <c r="J171" s="27">
        <v>738.33</v>
      </c>
      <c r="K171" s="27">
        <v>2328.0</v>
      </c>
      <c r="L171" s="57">
        <f t="shared" si="8"/>
        <v>1.538659794</v>
      </c>
    </row>
    <row r="172">
      <c r="A172" s="8"/>
      <c r="B172" s="3"/>
      <c r="C172" s="3"/>
      <c r="D172" s="3"/>
      <c r="F172" s="9" t="s">
        <v>16</v>
      </c>
      <c r="G172" s="27">
        <v>9.531670633E7</v>
      </c>
      <c r="H172" s="27">
        <v>1.2690204567E8</v>
      </c>
      <c r="I172" s="27">
        <v>37623.0</v>
      </c>
      <c r="J172" s="27">
        <v>0.0</v>
      </c>
      <c r="K172" s="27">
        <v>2317.33</v>
      </c>
      <c r="L172" s="57">
        <f t="shared" si="8"/>
        <v>1.545744456</v>
      </c>
    </row>
    <row r="173">
      <c r="A173" s="8"/>
      <c r="B173" s="9"/>
      <c r="C173" s="3"/>
      <c r="D173" s="3"/>
      <c r="E173" s="24">
        <v>64.0</v>
      </c>
      <c r="F173" s="3" t="s">
        <v>14</v>
      </c>
      <c r="G173" s="27">
        <v>9.573269133E7</v>
      </c>
      <c r="H173" s="27">
        <v>1.2765210267E8</v>
      </c>
      <c r="I173" s="27">
        <v>51859.0</v>
      </c>
      <c r="J173" s="27">
        <v>1481.33</v>
      </c>
      <c r="K173" s="27">
        <v>2330.0</v>
      </c>
      <c r="L173" s="57">
        <f t="shared" si="8"/>
        <v>1.537339056</v>
      </c>
    </row>
    <row r="174">
      <c r="A174" s="8"/>
      <c r="B174" s="9"/>
      <c r="C174" s="3"/>
      <c r="D174" s="3"/>
      <c r="F174" s="9" t="s">
        <v>15</v>
      </c>
      <c r="G174" s="27">
        <v>9.4983799E7</v>
      </c>
      <c r="H174" s="27">
        <v>1.26062175E8</v>
      </c>
      <c r="I174" s="27">
        <v>48242.0</v>
      </c>
      <c r="J174" s="27">
        <v>737.67</v>
      </c>
      <c r="K174" s="27">
        <v>2316.0</v>
      </c>
      <c r="L174" s="57">
        <f t="shared" si="8"/>
        <v>1.546632124</v>
      </c>
    </row>
    <row r="175">
      <c r="A175" s="8"/>
      <c r="B175" s="9"/>
      <c r="C175" s="3"/>
      <c r="D175" s="3"/>
      <c r="F175" s="9" t="s">
        <v>16</v>
      </c>
      <c r="G175" s="27">
        <v>9.5926002E7</v>
      </c>
      <c r="H175" s="27">
        <v>1.2848047833E8</v>
      </c>
      <c r="I175" s="27">
        <v>46491.0</v>
      </c>
      <c r="J175" s="27">
        <v>0.0</v>
      </c>
      <c r="K175" s="27">
        <v>2353.0</v>
      </c>
      <c r="L175" s="57">
        <f t="shared" si="8"/>
        <v>1.522311942</v>
      </c>
    </row>
    <row r="176">
      <c r="A176" s="8" t="s">
        <v>13</v>
      </c>
      <c r="G176" s="22"/>
      <c r="H176" s="22"/>
      <c r="I176" s="22"/>
      <c r="J176" s="22"/>
      <c r="K176" s="22"/>
    </row>
    <row r="177">
      <c r="A177" s="12"/>
      <c r="G177" s="22"/>
      <c r="H177" s="22"/>
      <c r="I177" s="22"/>
      <c r="J177" s="22"/>
      <c r="K177" s="22"/>
    </row>
    <row r="178">
      <c r="A178" s="8"/>
      <c r="G178" s="22"/>
      <c r="H178" s="22"/>
      <c r="I178" s="22"/>
      <c r="J178" s="22"/>
      <c r="K178" s="22"/>
    </row>
    <row r="179">
      <c r="A179" s="8"/>
      <c r="G179" s="22"/>
      <c r="H179" s="22"/>
      <c r="I179" s="22"/>
      <c r="J179" s="22"/>
      <c r="K179" s="22"/>
    </row>
    <row r="180">
      <c r="A180" s="8"/>
      <c r="B180" s="1" t="s">
        <v>1</v>
      </c>
      <c r="C180" s="39" t="s">
        <v>41</v>
      </c>
      <c r="D180" s="39" t="s">
        <v>42</v>
      </c>
      <c r="E180" s="55" t="s">
        <v>2</v>
      </c>
      <c r="F180" s="55" t="s">
        <v>3</v>
      </c>
      <c r="G180" s="55" t="s">
        <v>4</v>
      </c>
      <c r="H180" s="55" t="s">
        <v>5</v>
      </c>
      <c r="I180" s="55" t="s">
        <v>6</v>
      </c>
      <c r="J180" s="55" t="s">
        <v>7</v>
      </c>
      <c r="K180" s="55" t="s">
        <v>8</v>
      </c>
      <c r="L180" s="56" t="s">
        <v>9</v>
      </c>
    </row>
    <row r="181">
      <c r="A181" s="8"/>
      <c r="B181" s="6" t="s">
        <v>17</v>
      </c>
      <c r="C181" s="6">
        <v>128.0</v>
      </c>
      <c r="D181" s="9" t="s">
        <v>12</v>
      </c>
      <c r="E181" s="9" t="s">
        <v>12</v>
      </c>
      <c r="F181" s="9" t="s">
        <v>12</v>
      </c>
      <c r="G181" s="6">
        <v>3.6549611E7</v>
      </c>
      <c r="H181" s="6">
        <v>4.1683282E7</v>
      </c>
      <c r="I181" s="6">
        <v>155185.0</v>
      </c>
      <c r="J181" s="6">
        <v>0.0</v>
      </c>
      <c r="K181" s="6">
        <v>430.0</v>
      </c>
      <c r="L181" s="19"/>
    </row>
    <row r="182">
      <c r="A182" s="8"/>
      <c r="B182" s="3"/>
      <c r="C182" s="13"/>
      <c r="D182" s="13"/>
      <c r="G182" s="22"/>
      <c r="H182" s="22"/>
      <c r="I182" s="22"/>
      <c r="J182" s="22"/>
      <c r="K182" s="22"/>
    </row>
    <row r="183">
      <c r="A183" s="8"/>
      <c r="B183" s="3"/>
      <c r="C183" s="9"/>
      <c r="D183" s="9">
        <v>256.0</v>
      </c>
      <c r="E183" s="24">
        <v>2.0</v>
      </c>
      <c r="F183" s="3" t="s">
        <v>14</v>
      </c>
      <c r="G183" s="27">
        <v>1.616732E7</v>
      </c>
      <c r="H183" s="27">
        <v>2.1503077E7</v>
      </c>
      <c r="I183" s="27">
        <v>13527.0</v>
      </c>
      <c r="J183" s="27">
        <v>1486.0</v>
      </c>
      <c r="K183" s="27">
        <v>223.0</v>
      </c>
      <c r="L183" s="57">
        <f> DIVIDE(K181,K183)</f>
        <v>1.928251121</v>
      </c>
    </row>
    <row r="184">
      <c r="A184" s="8"/>
      <c r="B184" s="3"/>
      <c r="C184" s="9"/>
      <c r="D184" s="9"/>
      <c r="F184" s="9" t="s">
        <v>15</v>
      </c>
      <c r="G184" s="27">
        <v>1.6183079E7</v>
      </c>
      <c r="H184" s="27">
        <v>2.1508293E7</v>
      </c>
      <c r="I184" s="27">
        <v>16585.0</v>
      </c>
      <c r="J184" s="27">
        <v>742.0</v>
      </c>
      <c r="K184" s="27">
        <v>201.0</v>
      </c>
      <c r="L184" s="57">
        <f> DIVIDE(K181,K184)</f>
        <v>2.139303483</v>
      </c>
    </row>
    <row r="185">
      <c r="A185" s="8"/>
      <c r="B185" s="3"/>
      <c r="C185" s="9"/>
      <c r="D185" s="9"/>
      <c r="F185" s="9" t="s">
        <v>16</v>
      </c>
      <c r="G185" s="27">
        <v>1.6295415E7</v>
      </c>
      <c r="H185" s="27">
        <v>2.1617056E7</v>
      </c>
      <c r="I185" s="27">
        <v>11554.0</v>
      </c>
      <c r="J185" s="27">
        <v>0.0</v>
      </c>
      <c r="K185" s="27">
        <v>197.0</v>
      </c>
      <c r="L185" s="57">
        <f> DIVIDE(K181,K185)</f>
        <v>2.182741117</v>
      </c>
    </row>
    <row r="186">
      <c r="A186" s="8"/>
      <c r="B186" s="3"/>
      <c r="C186" s="9"/>
      <c r="D186" s="9"/>
      <c r="E186" s="24">
        <v>4.0</v>
      </c>
      <c r="F186" s="3" t="s">
        <v>14</v>
      </c>
      <c r="G186" s="27">
        <v>1.6259849E7</v>
      </c>
      <c r="H186" s="27">
        <v>2.1581821E7</v>
      </c>
      <c r="I186" s="27">
        <v>10549.0</v>
      </c>
      <c r="J186" s="27">
        <v>1485.0</v>
      </c>
      <c r="K186" s="27">
        <v>204.0</v>
      </c>
      <c r="L186" s="24">
        <f> DIVIDE(K181,K186)</f>
        <v>2.107843137</v>
      </c>
    </row>
    <row r="187">
      <c r="A187" s="8"/>
      <c r="B187" s="3"/>
      <c r="C187" s="9"/>
      <c r="D187" s="9"/>
      <c r="F187" s="9" t="s">
        <v>15</v>
      </c>
      <c r="G187" s="27">
        <v>1.617584E7</v>
      </c>
      <c r="H187" s="27">
        <v>2.1479205E7</v>
      </c>
      <c r="I187" s="27">
        <v>5900.67</v>
      </c>
      <c r="J187" s="27">
        <v>10731.0</v>
      </c>
      <c r="K187" s="27">
        <v>242.0</v>
      </c>
      <c r="L187" s="57">
        <f> DIVIDE(K181,K187)</f>
        <v>1.776859504</v>
      </c>
    </row>
    <row r="188">
      <c r="A188" s="8"/>
      <c r="B188" s="3"/>
      <c r="C188" s="9"/>
      <c r="D188" s="9"/>
      <c r="F188" s="9" t="s">
        <v>16</v>
      </c>
      <c r="G188" s="27">
        <v>1.6180987E7</v>
      </c>
      <c r="H188" s="27">
        <v>2.147321E7</v>
      </c>
      <c r="I188" s="27">
        <v>8785.0</v>
      </c>
      <c r="J188" s="27">
        <v>0.0</v>
      </c>
      <c r="K188" s="27">
        <v>201.0</v>
      </c>
      <c r="L188" s="57">
        <f> DIVIDE(K181,K188)</f>
        <v>2.139303483</v>
      </c>
    </row>
    <row r="189">
      <c r="A189" s="8"/>
      <c r="B189" s="3"/>
      <c r="C189" s="3"/>
      <c r="D189" s="3"/>
      <c r="E189" s="24">
        <v>8.0</v>
      </c>
      <c r="F189" s="3" t="s">
        <v>14</v>
      </c>
      <c r="G189" s="27">
        <v>1.6271303E7</v>
      </c>
      <c r="H189" s="27">
        <v>2.1627551E7</v>
      </c>
      <c r="I189" s="27">
        <v>11872.0</v>
      </c>
      <c r="J189" s="27">
        <v>1481.0</v>
      </c>
      <c r="K189" s="27">
        <v>203.0</v>
      </c>
      <c r="L189" s="57">
        <f> DIVIDE(K181,K189)</f>
        <v>2.118226601</v>
      </c>
    </row>
    <row r="190">
      <c r="A190" s="15"/>
      <c r="B190" s="3"/>
      <c r="C190" s="3"/>
      <c r="D190" s="3"/>
      <c r="F190" s="9" t="s">
        <v>15</v>
      </c>
      <c r="G190" s="27">
        <v>1.6257252E7</v>
      </c>
      <c r="H190" s="27">
        <v>2.1574729E7</v>
      </c>
      <c r="I190" s="27">
        <v>9295.0</v>
      </c>
      <c r="J190" s="27">
        <v>739.0</v>
      </c>
      <c r="K190" s="27">
        <v>208.0</v>
      </c>
      <c r="L190" s="57">
        <f> DIVIDE(K181,K190)</f>
        <v>2.067307692</v>
      </c>
    </row>
    <row r="191">
      <c r="A191" s="3"/>
      <c r="B191" s="3"/>
      <c r="C191" s="3"/>
      <c r="D191" s="3"/>
      <c r="F191" s="9" t="s">
        <v>16</v>
      </c>
      <c r="G191" s="27">
        <v>1.6327413E7</v>
      </c>
      <c r="H191" s="27">
        <v>2.1935601E7</v>
      </c>
      <c r="I191" s="27">
        <v>11055.0</v>
      </c>
      <c r="J191" s="27">
        <v>0.0</v>
      </c>
      <c r="K191" s="27">
        <v>213.0</v>
      </c>
      <c r="L191" s="57">
        <f> DIVIDE(K181,K191)</f>
        <v>2.018779343</v>
      </c>
    </row>
    <row r="192">
      <c r="A192" s="3"/>
      <c r="B192" s="3"/>
      <c r="C192" s="3"/>
      <c r="D192" s="3"/>
      <c r="E192" s="24">
        <v>16.0</v>
      </c>
      <c r="F192" s="3" t="s">
        <v>14</v>
      </c>
      <c r="G192" s="27">
        <v>1.6177605E7</v>
      </c>
      <c r="H192" s="27">
        <v>2.1498012E7</v>
      </c>
      <c r="I192" s="27">
        <v>11824.0</v>
      </c>
      <c r="J192" s="27">
        <v>1484.0</v>
      </c>
      <c r="K192" s="27">
        <v>214.33</v>
      </c>
      <c r="L192" s="57">
        <f t="shared" ref="L192:L200" si="9"> DIVIDE($K$181,K192)</f>
        <v>2.006252041</v>
      </c>
    </row>
    <row r="193">
      <c r="A193" s="4" t="s">
        <v>10</v>
      </c>
      <c r="B193" s="3"/>
      <c r="C193" s="3"/>
      <c r="D193" s="3"/>
      <c r="F193" s="9" t="s">
        <v>15</v>
      </c>
      <c r="G193" s="27">
        <v>1.6263992E7</v>
      </c>
      <c r="H193" s="27">
        <v>2.1611698E7</v>
      </c>
      <c r="I193" s="27">
        <v>10771.0</v>
      </c>
      <c r="J193" s="27">
        <v>740.0</v>
      </c>
      <c r="K193" s="27">
        <v>214.0</v>
      </c>
      <c r="L193" s="57">
        <f t="shared" si="9"/>
        <v>2.009345794</v>
      </c>
    </row>
    <row r="194">
      <c r="A194" s="8" t="s">
        <v>13</v>
      </c>
      <c r="B194" s="3"/>
      <c r="C194" s="3"/>
      <c r="D194" s="3"/>
      <c r="F194" s="9" t="s">
        <v>16</v>
      </c>
      <c r="G194" s="27">
        <v>1.6321884E7</v>
      </c>
      <c r="H194" s="27">
        <v>2.1730474E7</v>
      </c>
      <c r="I194" s="27">
        <v>8891.0</v>
      </c>
      <c r="J194" s="27">
        <v>0.0</v>
      </c>
      <c r="K194" s="27">
        <v>216.0</v>
      </c>
      <c r="L194" s="57">
        <f t="shared" si="9"/>
        <v>1.990740741</v>
      </c>
    </row>
    <row r="195">
      <c r="A195" s="12"/>
      <c r="B195" s="3"/>
      <c r="C195" s="3"/>
      <c r="D195" s="3"/>
      <c r="E195" s="24">
        <v>32.0</v>
      </c>
      <c r="F195" s="3" t="s">
        <v>14</v>
      </c>
      <c r="G195" s="27">
        <v>1.616596E7</v>
      </c>
      <c r="H195" s="27">
        <v>2.1469096E7</v>
      </c>
      <c r="I195" s="27">
        <v>8636.0</v>
      </c>
      <c r="J195" s="27">
        <v>1482.0</v>
      </c>
      <c r="K195" s="27">
        <v>217.0</v>
      </c>
      <c r="L195" s="57">
        <f t="shared" si="9"/>
        <v>1.98156682</v>
      </c>
    </row>
    <row r="196">
      <c r="A196" s="8"/>
      <c r="B196" s="3"/>
      <c r="C196" s="3"/>
      <c r="D196" s="3"/>
      <c r="F196" s="9" t="s">
        <v>15</v>
      </c>
      <c r="G196" s="27">
        <v>1.6158055E7</v>
      </c>
      <c r="H196" s="27">
        <v>2.1453987E7</v>
      </c>
      <c r="I196" s="27">
        <v>9884.0</v>
      </c>
      <c r="J196" s="27">
        <v>740.0</v>
      </c>
      <c r="K196" s="27">
        <v>218.0</v>
      </c>
      <c r="L196" s="57">
        <f t="shared" si="9"/>
        <v>1.972477064</v>
      </c>
    </row>
    <row r="197">
      <c r="A197" s="8"/>
      <c r="B197" s="3"/>
      <c r="C197" s="3"/>
      <c r="D197" s="3"/>
      <c r="F197" s="9" t="s">
        <v>16</v>
      </c>
      <c r="G197" s="27">
        <v>1.6268729E7</v>
      </c>
      <c r="H197" s="27">
        <v>2.1602759E7</v>
      </c>
      <c r="I197" s="27">
        <v>10815.0</v>
      </c>
      <c r="J197" s="27">
        <v>0.0</v>
      </c>
      <c r="K197" s="27">
        <v>218.0</v>
      </c>
      <c r="L197" s="57">
        <f t="shared" si="9"/>
        <v>1.972477064</v>
      </c>
    </row>
    <row r="198">
      <c r="A198" s="8"/>
      <c r="B198" s="9"/>
      <c r="C198" s="3"/>
      <c r="D198" s="3"/>
      <c r="E198" s="24">
        <v>64.0</v>
      </c>
      <c r="F198" s="3" t="s">
        <v>14</v>
      </c>
      <c r="G198" s="27">
        <v>1.6220042E7</v>
      </c>
      <c r="H198" s="27">
        <v>2.1477465E7</v>
      </c>
      <c r="I198" s="27">
        <v>8696.0</v>
      </c>
      <c r="J198" s="27">
        <v>1484.0</v>
      </c>
      <c r="K198" s="27">
        <v>240.0</v>
      </c>
      <c r="L198" s="57">
        <f t="shared" si="9"/>
        <v>1.791666667</v>
      </c>
    </row>
    <row r="199">
      <c r="A199" s="8"/>
      <c r="B199" s="9"/>
      <c r="C199" s="3"/>
      <c r="D199" s="3"/>
      <c r="F199" s="9" t="s">
        <v>15</v>
      </c>
      <c r="G199" s="27">
        <v>1.6311386E7</v>
      </c>
      <c r="H199" s="27">
        <v>2.1646283E7</v>
      </c>
      <c r="I199" s="27">
        <v>10619.0</v>
      </c>
      <c r="J199" s="27">
        <v>740.0</v>
      </c>
      <c r="K199" s="27">
        <v>217.0</v>
      </c>
      <c r="L199" s="57">
        <f t="shared" si="9"/>
        <v>1.98156682</v>
      </c>
    </row>
    <row r="200">
      <c r="A200" s="8"/>
      <c r="B200" s="9"/>
      <c r="C200" s="3"/>
      <c r="D200" s="3"/>
      <c r="F200" s="9" t="s">
        <v>16</v>
      </c>
      <c r="G200" s="27">
        <v>1.6180668E7</v>
      </c>
      <c r="H200" s="27">
        <v>2.1483748E7</v>
      </c>
      <c r="I200" s="27">
        <v>10212.0</v>
      </c>
      <c r="J200" s="27">
        <v>0.0</v>
      </c>
      <c r="K200" s="27">
        <v>222.0</v>
      </c>
      <c r="L200" s="57">
        <f t="shared" si="9"/>
        <v>1.936936937</v>
      </c>
    </row>
    <row r="201">
      <c r="A201" s="8"/>
      <c r="B201" s="9"/>
      <c r="C201" s="3"/>
      <c r="D201" s="3"/>
      <c r="F201" s="9"/>
      <c r="G201" s="27"/>
      <c r="H201" s="27"/>
      <c r="I201" s="27"/>
      <c r="J201" s="27"/>
      <c r="K201" s="27"/>
    </row>
    <row r="202">
      <c r="A202" s="8"/>
      <c r="B202" s="3"/>
      <c r="C202" s="13"/>
      <c r="D202" s="13"/>
      <c r="G202" s="22"/>
      <c r="H202" s="22"/>
      <c r="I202" s="22"/>
      <c r="J202" s="22"/>
      <c r="K202" s="22"/>
    </row>
    <row r="203">
      <c r="A203" s="8"/>
      <c r="B203" s="3"/>
      <c r="C203" s="9"/>
      <c r="D203" s="9">
        <v>128.0</v>
      </c>
      <c r="E203" s="24">
        <v>2.0</v>
      </c>
      <c r="F203" s="3" t="s">
        <v>14</v>
      </c>
      <c r="G203" s="27">
        <v>1.617488E7</v>
      </c>
      <c r="H203" s="27">
        <v>2.1475256E7</v>
      </c>
      <c r="I203" s="27">
        <v>12241.0</v>
      </c>
      <c r="J203" s="27">
        <v>1487.0</v>
      </c>
      <c r="K203" s="27">
        <v>277.0</v>
      </c>
      <c r="L203" s="57">
        <f t="shared" ref="L203:L220" si="10"> DIVIDE($K$181,K203)</f>
        <v>1.55234657</v>
      </c>
    </row>
    <row r="204">
      <c r="A204" s="8"/>
      <c r="B204" s="3"/>
      <c r="C204" s="9"/>
      <c r="D204" s="9"/>
      <c r="F204" s="9" t="s">
        <v>15</v>
      </c>
      <c r="G204" s="27">
        <v>1.6287564E7</v>
      </c>
      <c r="H204" s="27">
        <v>2.1616738E7</v>
      </c>
      <c r="I204" s="27">
        <v>13597.0</v>
      </c>
      <c r="J204" s="27">
        <v>1487.0</v>
      </c>
      <c r="K204" s="27">
        <v>276.0</v>
      </c>
      <c r="L204" s="57">
        <f t="shared" si="10"/>
        <v>1.557971014</v>
      </c>
    </row>
    <row r="205">
      <c r="A205" s="8"/>
      <c r="B205" s="3"/>
      <c r="C205" s="9"/>
      <c r="D205" s="9"/>
      <c r="F205" s="9" t="s">
        <v>16</v>
      </c>
      <c r="G205" s="27">
        <v>1.6155436E7</v>
      </c>
      <c r="H205" s="27">
        <v>2.1458456E7</v>
      </c>
      <c r="I205" s="27">
        <v>11077.0</v>
      </c>
      <c r="J205" s="27">
        <v>0.0</v>
      </c>
      <c r="K205" s="27">
        <v>257.0</v>
      </c>
      <c r="L205" s="57">
        <f t="shared" si="10"/>
        <v>1.673151751</v>
      </c>
    </row>
    <row r="206">
      <c r="A206" s="8"/>
      <c r="B206" s="3"/>
      <c r="C206" s="9"/>
      <c r="D206" s="9"/>
      <c r="E206" s="24">
        <v>4.0</v>
      </c>
      <c r="F206" s="3" t="s">
        <v>14</v>
      </c>
      <c r="G206" s="27">
        <v>1.6170054E7</v>
      </c>
      <c r="H206" s="27">
        <v>2.1490204E7</v>
      </c>
      <c r="I206" s="27">
        <v>11371.0</v>
      </c>
      <c r="J206" s="27">
        <v>1485.0</v>
      </c>
      <c r="K206" s="27">
        <v>267.0</v>
      </c>
      <c r="L206" s="57">
        <f t="shared" si="10"/>
        <v>1.610486891</v>
      </c>
    </row>
    <row r="207">
      <c r="A207" s="8"/>
      <c r="B207" s="3"/>
      <c r="C207" s="9"/>
      <c r="D207" s="9"/>
      <c r="F207" s="9" t="s">
        <v>15</v>
      </c>
      <c r="G207" s="27">
        <v>1.6259814E7</v>
      </c>
      <c r="H207" s="27">
        <v>2.1582301E7</v>
      </c>
      <c r="I207" s="27">
        <v>11923.0</v>
      </c>
      <c r="J207" s="27">
        <v>742.0</v>
      </c>
      <c r="K207" s="27">
        <v>259.0</v>
      </c>
      <c r="L207" s="57">
        <f t="shared" si="10"/>
        <v>1.66023166</v>
      </c>
    </row>
    <row r="208">
      <c r="A208" s="15"/>
      <c r="B208" s="3"/>
      <c r="C208" s="9"/>
      <c r="D208" s="9"/>
      <c r="F208" s="9" t="s">
        <v>16</v>
      </c>
      <c r="G208" s="27">
        <v>1.6246358E7</v>
      </c>
      <c r="H208" s="27">
        <v>2.1572961E7</v>
      </c>
      <c r="I208" s="27">
        <v>10196.0</v>
      </c>
      <c r="J208" s="27">
        <v>0.0</v>
      </c>
      <c r="K208" s="27">
        <v>279.0</v>
      </c>
      <c r="L208" s="57">
        <f t="shared" si="10"/>
        <v>1.541218638</v>
      </c>
    </row>
    <row r="209">
      <c r="A209" s="3"/>
      <c r="B209" s="3"/>
      <c r="C209" s="3"/>
      <c r="D209" s="3"/>
      <c r="E209" s="24">
        <v>8.0</v>
      </c>
      <c r="F209" s="3" t="s">
        <v>14</v>
      </c>
      <c r="G209" s="27">
        <v>1.6336577E7</v>
      </c>
      <c r="H209" s="27">
        <v>2.1948288E7</v>
      </c>
      <c r="I209" s="27">
        <v>10075.0</v>
      </c>
      <c r="J209" s="27">
        <v>1483.0</v>
      </c>
      <c r="K209" s="27">
        <v>281.0</v>
      </c>
      <c r="L209" s="57">
        <f t="shared" si="10"/>
        <v>1.53024911</v>
      </c>
    </row>
    <row r="210">
      <c r="A210" s="3"/>
      <c r="B210" s="3"/>
      <c r="C210" s="3"/>
      <c r="D210" s="3"/>
      <c r="F210" s="9" t="s">
        <v>15</v>
      </c>
      <c r="G210" s="27">
        <v>1.625614E7</v>
      </c>
      <c r="H210" s="27">
        <v>2.159017E7</v>
      </c>
      <c r="I210" s="27">
        <v>8902.0</v>
      </c>
      <c r="J210" s="27">
        <v>739.0</v>
      </c>
      <c r="K210" s="27">
        <v>264.0</v>
      </c>
      <c r="L210" s="57">
        <f t="shared" si="10"/>
        <v>1.628787879</v>
      </c>
    </row>
    <row r="211">
      <c r="A211" s="3"/>
      <c r="B211" s="3"/>
      <c r="C211" s="3"/>
      <c r="D211" s="3"/>
      <c r="F211" s="9" t="s">
        <v>16</v>
      </c>
      <c r="G211" s="27">
        <v>1.6162205E7</v>
      </c>
      <c r="H211" s="27">
        <v>2.1475576E7</v>
      </c>
      <c r="I211" s="27">
        <v>8674.0</v>
      </c>
      <c r="J211" s="27">
        <v>0.0</v>
      </c>
      <c r="K211" s="27">
        <v>286.0</v>
      </c>
      <c r="L211" s="57">
        <f t="shared" si="10"/>
        <v>1.503496503</v>
      </c>
    </row>
    <row r="212">
      <c r="A212" s="3" t="s">
        <v>10</v>
      </c>
      <c r="B212" s="3"/>
      <c r="C212" s="3"/>
      <c r="D212" s="3"/>
      <c r="E212" s="24">
        <v>16.0</v>
      </c>
      <c r="F212" s="3" t="s">
        <v>14</v>
      </c>
      <c r="G212" s="27">
        <v>1.625942E7</v>
      </c>
      <c r="H212" s="27">
        <v>2.1569682E7</v>
      </c>
      <c r="I212" s="27">
        <v>10052.0</v>
      </c>
      <c r="J212" s="27">
        <v>1484.0</v>
      </c>
      <c r="K212" s="27">
        <v>272.0</v>
      </c>
      <c r="L212" s="57">
        <f t="shared" si="10"/>
        <v>1.580882353</v>
      </c>
    </row>
    <row r="213">
      <c r="A213" s="3" t="s">
        <v>13</v>
      </c>
      <c r="B213" s="3"/>
      <c r="C213" s="3"/>
      <c r="D213" s="3"/>
      <c r="F213" s="9" t="s">
        <v>15</v>
      </c>
      <c r="G213" s="27">
        <v>1.6173623E7</v>
      </c>
      <c r="H213" s="27">
        <v>2.1483466E7</v>
      </c>
      <c r="I213" s="27">
        <v>9953.0</v>
      </c>
      <c r="J213" s="27">
        <v>738.0</v>
      </c>
      <c r="K213" s="27">
        <v>297.0</v>
      </c>
      <c r="L213" s="57">
        <f t="shared" si="10"/>
        <v>1.447811448</v>
      </c>
    </row>
    <row r="214">
      <c r="A214" s="9"/>
      <c r="B214" s="3"/>
      <c r="C214" s="3"/>
      <c r="D214" s="3"/>
      <c r="F214" s="9" t="s">
        <v>16</v>
      </c>
      <c r="G214" s="27">
        <v>1.632375E7</v>
      </c>
      <c r="H214" s="27">
        <v>2.194348E7</v>
      </c>
      <c r="I214" s="27">
        <v>8822.0</v>
      </c>
      <c r="J214" s="27">
        <v>0.0</v>
      </c>
      <c r="K214" s="27">
        <v>275.0</v>
      </c>
      <c r="L214" s="57">
        <f t="shared" si="10"/>
        <v>1.563636364</v>
      </c>
    </row>
    <row r="215">
      <c r="A215" s="3"/>
      <c r="B215" s="3"/>
      <c r="C215" s="3"/>
      <c r="D215" s="3"/>
      <c r="E215" s="24">
        <v>32.0</v>
      </c>
      <c r="F215" s="3" t="s">
        <v>14</v>
      </c>
      <c r="G215" s="27">
        <v>1.6242192E7</v>
      </c>
      <c r="H215" s="27">
        <v>2.1565786E7</v>
      </c>
      <c r="I215" s="27">
        <v>10449.0</v>
      </c>
      <c r="J215" s="27">
        <v>1483.0</v>
      </c>
      <c r="K215" s="27">
        <v>281.0</v>
      </c>
      <c r="L215" s="57">
        <f t="shared" si="10"/>
        <v>1.53024911</v>
      </c>
    </row>
    <row r="216">
      <c r="A216" s="3"/>
      <c r="B216" s="3"/>
      <c r="C216" s="3"/>
      <c r="D216" s="3"/>
      <c r="F216" s="9" t="s">
        <v>15</v>
      </c>
      <c r="G216" s="27">
        <v>1.630278E7</v>
      </c>
      <c r="H216" s="27">
        <v>2.1880543E7</v>
      </c>
      <c r="I216" s="27">
        <v>11020.0</v>
      </c>
      <c r="J216" s="27">
        <v>739.0</v>
      </c>
      <c r="K216" s="27">
        <v>303.0</v>
      </c>
      <c r="L216" s="57">
        <f t="shared" si="10"/>
        <v>1.419141914</v>
      </c>
    </row>
    <row r="217">
      <c r="A217" s="3"/>
      <c r="B217" s="3"/>
      <c r="C217" s="3"/>
      <c r="D217" s="3"/>
      <c r="F217" s="9" t="s">
        <v>16</v>
      </c>
      <c r="G217" s="27">
        <v>1.6266499E7</v>
      </c>
      <c r="H217" s="27">
        <v>2.1593264E7</v>
      </c>
      <c r="I217" s="27">
        <v>9354.0</v>
      </c>
      <c r="J217" s="27">
        <v>0.0</v>
      </c>
      <c r="K217" s="27">
        <v>282.0</v>
      </c>
      <c r="L217" s="57">
        <f t="shared" si="10"/>
        <v>1.524822695</v>
      </c>
    </row>
    <row r="218">
      <c r="A218" s="3"/>
      <c r="B218" s="9"/>
      <c r="C218" s="3"/>
      <c r="D218" s="3"/>
      <c r="E218" s="24">
        <v>64.0</v>
      </c>
      <c r="F218" s="3" t="s">
        <v>14</v>
      </c>
      <c r="G218" s="27">
        <v>1.6264983E7</v>
      </c>
      <c r="H218" s="27">
        <v>2.1581481E7</v>
      </c>
      <c r="I218" s="27">
        <v>14676.0</v>
      </c>
      <c r="J218" s="27">
        <v>1479.0</v>
      </c>
      <c r="K218" s="27">
        <v>274.0</v>
      </c>
      <c r="L218" s="57">
        <f t="shared" si="10"/>
        <v>1.569343066</v>
      </c>
    </row>
    <row r="219">
      <c r="A219" s="3"/>
      <c r="B219" s="9"/>
      <c r="C219" s="3"/>
      <c r="D219" s="3"/>
      <c r="F219" s="9" t="s">
        <v>15</v>
      </c>
      <c r="G219" s="27">
        <v>1.6173226E7</v>
      </c>
      <c r="H219" s="27">
        <v>2.1475943E7</v>
      </c>
      <c r="I219" s="27">
        <v>9778.0</v>
      </c>
      <c r="J219" s="27">
        <v>738.0</v>
      </c>
      <c r="K219" s="27">
        <v>270.0</v>
      </c>
      <c r="L219" s="57">
        <f t="shared" si="10"/>
        <v>1.592592593</v>
      </c>
    </row>
    <row r="220">
      <c r="A220" s="3"/>
      <c r="B220" s="9"/>
      <c r="C220" s="3"/>
      <c r="D220" s="3"/>
      <c r="F220" s="9" t="s">
        <v>16</v>
      </c>
      <c r="G220" s="27">
        <v>1.6238974E7</v>
      </c>
      <c r="H220" s="27">
        <v>2.154584E7</v>
      </c>
      <c r="I220" s="27">
        <v>7772.0</v>
      </c>
      <c r="J220" s="27">
        <v>0.0</v>
      </c>
      <c r="K220" s="27">
        <v>269.0</v>
      </c>
      <c r="L220" s="57">
        <f t="shared" si="10"/>
        <v>1.598513011</v>
      </c>
    </row>
    <row r="221">
      <c r="A221" s="3"/>
      <c r="G221" s="22"/>
      <c r="H221" s="22"/>
      <c r="I221" s="22"/>
      <c r="J221" s="22"/>
      <c r="K221" s="22"/>
    </row>
    <row r="222">
      <c r="A222" s="3"/>
      <c r="G222" s="22"/>
      <c r="H222" s="22"/>
      <c r="I222" s="22"/>
      <c r="J222" s="22"/>
      <c r="K222" s="22"/>
    </row>
    <row r="223">
      <c r="A223" s="3"/>
      <c r="G223" s="22"/>
      <c r="H223" s="22"/>
      <c r="I223" s="22"/>
      <c r="J223" s="22"/>
      <c r="K223" s="22"/>
    </row>
    <row r="224">
      <c r="A224" s="3"/>
      <c r="G224" s="22"/>
      <c r="H224" s="22"/>
      <c r="I224" s="22"/>
      <c r="J224" s="22"/>
      <c r="K224" s="22"/>
    </row>
    <row r="225">
      <c r="A225" s="3"/>
      <c r="G225" s="22"/>
      <c r="H225" s="22"/>
      <c r="I225" s="22"/>
      <c r="J225" s="22"/>
      <c r="K225" s="22"/>
    </row>
    <row r="226">
      <c r="A226" s="3"/>
      <c r="B226" s="1" t="s">
        <v>1</v>
      </c>
      <c r="C226" s="39" t="s">
        <v>41</v>
      </c>
      <c r="D226" s="39" t="s">
        <v>42</v>
      </c>
      <c r="E226" s="55" t="s">
        <v>2</v>
      </c>
      <c r="F226" s="55" t="s">
        <v>3</v>
      </c>
      <c r="G226" s="55" t="s">
        <v>4</v>
      </c>
      <c r="H226" s="55" t="s">
        <v>5</v>
      </c>
      <c r="I226" s="55" t="s">
        <v>6</v>
      </c>
      <c r="J226" s="55" t="s">
        <v>7</v>
      </c>
      <c r="K226" s="55" t="s">
        <v>8</v>
      </c>
      <c r="L226" s="56" t="s">
        <v>9</v>
      </c>
    </row>
    <row r="227">
      <c r="A227" s="3"/>
      <c r="B227" s="6" t="s">
        <v>17</v>
      </c>
      <c r="C227" s="6">
        <v>512.0</v>
      </c>
      <c r="D227" s="9" t="s">
        <v>12</v>
      </c>
      <c r="E227" s="9" t="s">
        <v>12</v>
      </c>
      <c r="F227" s="9" t="s">
        <v>12</v>
      </c>
      <c r="G227" s="6">
        <v>1.4585825E8</v>
      </c>
      <c r="H227" s="6">
        <v>1.63779594E8</v>
      </c>
      <c r="I227" s="6">
        <v>492228.0</v>
      </c>
      <c r="J227" s="6">
        <v>0.0</v>
      </c>
      <c r="K227" s="6">
        <v>1307.0</v>
      </c>
      <c r="L227" s="19"/>
    </row>
    <row r="228">
      <c r="A228" s="3"/>
      <c r="B228" s="3"/>
      <c r="C228" s="13"/>
      <c r="D228" s="13"/>
      <c r="G228" s="22"/>
      <c r="H228" s="22"/>
      <c r="I228" s="22"/>
      <c r="J228" s="22"/>
      <c r="K228" s="22"/>
    </row>
    <row r="229">
      <c r="A229" s="3"/>
      <c r="B229" s="3"/>
      <c r="C229" s="9"/>
      <c r="D229" s="9">
        <v>256.0</v>
      </c>
      <c r="E229" s="24">
        <v>2.0</v>
      </c>
      <c r="F229" s="3" t="s">
        <v>14</v>
      </c>
      <c r="G229" s="27">
        <v>6.5151298E7</v>
      </c>
      <c r="H229" s="27">
        <v>8.6204182E7</v>
      </c>
      <c r="I229" s="27">
        <v>25352.0</v>
      </c>
      <c r="J229" s="27">
        <v>1489.0</v>
      </c>
      <c r="K229" s="27">
        <v>547.0</v>
      </c>
      <c r="L229" s="57">
        <f>DIVIDE(K227,K229)</f>
        <v>2.389396709</v>
      </c>
    </row>
    <row r="230">
      <c r="A230" s="3"/>
      <c r="B230" s="3"/>
      <c r="C230" s="9"/>
      <c r="D230" s="9"/>
      <c r="F230" s="9" t="s">
        <v>15</v>
      </c>
      <c r="G230" s="27">
        <v>6.4684821E7</v>
      </c>
      <c r="H230" s="27">
        <v>8.567197E7</v>
      </c>
      <c r="I230" s="27">
        <v>22388.0</v>
      </c>
      <c r="J230" s="27">
        <v>745.0</v>
      </c>
      <c r="K230" s="27">
        <v>554.0</v>
      </c>
      <c r="L230" s="57">
        <f t="shared" ref="L230:L246" si="11">DIVIDE($K$227,K230)</f>
        <v>2.359205776</v>
      </c>
    </row>
    <row r="231">
      <c r="A231" s="3"/>
      <c r="B231" s="3"/>
      <c r="C231" s="9"/>
      <c r="D231" s="9"/>
      <c r="F231" s="9" t="s">
        <v>16</v>
      </c>
      <c r="G231" s="27">
        <v>6.4978244E7</v>
      </c>
      <c r="H231" s="27">
        <v>8.614675E7</v>
      </c>
      <c r="I231" s="27">
        <v>23369.0</v>
      </c>
      <c r="J231" s="27">
        <v>0.0</v>
      </c>
      <c r="K231" s="27">
        <v>519.0</v>
      </c>
      <c r="L231" s="57">
        <f t="shared" si="11"/>
        <v>2.518304432</v>
      </c>
    </row>
    <row r="232">
      <c r="A232" s="3"/>
      <c r="B232" s="3"/>
      <c r="C232" s="9"/>
      <c r="D232" s="9"/>
      <c r="E232" s="24">
        <v>4.0</v>
      </c>
      <c r="F232" s="3" t="s">
        <v>14</v>
      </c>
      <c r="G232" s="27">
        <v>6.4530919E7</v>
      </c>
      <c r="H232" s="27">
        <v>8.5661308E7</v>
      </c>
      <c r="I232" s="27">
        <v>25095.0</v>
      </c>
      <c r="J232" s="27">
        <v>1490.0</v>
      </c>
      <c r="K232" s="27">
        <v>543.0</v>
      </c>
      <c r="L232" s="57">
        <f t="shared" si="11"/>
        <v>2.406998158</v>
      </c>
    </row>
    <row r="233">
      <c r="A233" s="3"/>
      <c r="B233" s="3"/>
      <c r="C233" s="9"/>
      <c r="D233" s="9"/>
      <c r="F233" s="9" t="s">
        <v>15</v>
      </c>
      <c r="G233" s="27">
        <v>6.5044195E7</v>
      </c>
      <c r="H233" s="27">
        <v>8.6272678E7</v>
      </c>
      <c r="I233" s="27">
        <v>21828.0</v>
      </c>
      <c r="J233" s="27">
        <v>748.0</v>
      </c>
      <c r="K233" s="27">
        <v>532.0</v>
      </c>
      <c r="L233" s="57">
        <f t="shared" si="11"/>
        <v>2.456766917</v>
      </c>
    </row>
    <row r="234">
      <c r="A234" s="3"/>
      <c r="B234" s="3"/>
      <c r="C234" s="9"/>
      <c r="D234" s="9"/>
      <c r="F234" s="9" t="s">
        <v>16</v>
      </c>
      <c r="G234" s="27">
        <v>6.5213718E7</v>
      </c>
      <c r="H234" s="27">
        <v>8.7662786E7</v>
      </c>
      <c r="I234" s="27">
        <v>32165.0</v>
      </c>
      <c r="J234" s="27">
        <v>0.0</v>
      </c>
      <c r="K234" s="27">
        <v>525.0</v>
      </c>
      <c r="L234" s="57">
        <f t="shared" si="11"/>
        <v>2.48952381</v>
      </c>
    </row>
    <row r="235">
      <c r="A235" s="3"/>
      <c r="B235" s="3"/>
      <c r="C235" s="3"/>
      <c r="D235" s="3"/>
      <c r="E235" s="24">
        <v>8.0</v>
      </c>
      <c r="F235" s="3" t="s">
        <v>14</v>
      </c>
      <c r="G235" s="27">
        <v>6.4856507E7</v>
      </c>
      <c r="H235" s="27">
        <v>8.6027127E7</v>
      </c>
      <c r="I235" s="27">
        <v>24256.0</v>
      </c>
      <c r="J235" s="27">
        <v>1483.0</v>
      </c>
      <c r="K235" s="27">
        <v>527.0</v>
      </c>
      <c r="L235" s="57">
        <f t="shared" si="11"/>
        <v>2.480075901</v>
      </c>
    </row>
    <row r="236">
      <c r="A236" s="3"/>
      <c r="B236" s="3"/>
      <c r="C236" s="3"/>
      <c r="D236" s="3"/>
      <c r="F236" s="9" t="s">
        <v>15</v>
      </c>
      <c r="G236" s="27">
        <v>6.4531661E7</v>
      </c>
      <c r="H236" s="27">
        <v>8.568018E7</v>
      </c>
      <c r="I236" s="27">
        <v>25924.0</v>
      </c>
      <c r="J236" s="27">
        <v>738.0</v>
      </c>
      <c r="K236" s="27">
        <v>529.0</v>
      </c>
      <c r="L236" s="57">
        <f t="shared" si="11"/>
        <v>2.470699433</v>
      </c>
    </row>
    <row r="237">
      <c r="A237" s="3"/>
      <c r="B237" s="3"/>
      <c r="C237" s="3"/>
      <c r="D237" s="3"/>
      <c r="F237" s="9" t="s">
        <v>16</v>
      </c>
      <c r="G237" s="27">
        <v>6.4613524E7</v>
      </c>
      <c r="H237" s="27">
        <v>8.594726E7</v>
      </c>
      <c r="I237" s="27">
        <v>29599.0</v>
      </c>
      <c r="J237" s="27">
        <v>0.0</v>
      </c>
      <c r="K237" s="27">
        <v>523.0</v>
      </c>
      <c r="L237" s="57">
        <f t="shared" si="11"/>
        <v>2.499043977</v>
      </c>
    </row>
    <row r="238">
      <c r="A238" s="3"/>
      <c r="B238" s="3"/>
      <c r="C238" s="3"/>
      <c r="D238" s="3"/>
      <c r="E238" s="24">
        <v>16.0</v>
      </c>
      <c r="F238" s="3" t="s">
        <v>14</v>
      </c>
      <c r="G238" s="27">
        <v>6.5145389E7</v>
      </c>
      <c r="H238" s="27">
        <v>8.6334871E7</v>
      </c>
      <c r="I238" s="27">
        <v>25621.0</v>
      </c>
      <c r="J238" s="27">
        <v>1486.0</v>
      </c>
      <c r="K238" s="27">
        <v>558.0</v>
      </c>
      <c r="L238" s="57">
        <f t="shared" si="11"/>
        <v>2.342293907</v>
      </c>
    </row>
    <row r="239">
      <c r="A239" s="3"/>
      <c r="B239" s="3"/>
      <c r="C239" s="3"/>
      <c r="D239" s="3"/>
      <c r="F239" s="9" t="s">
        <v>15</v>
      </c>
      <c r="G239" s="27">
        <v>6.4845553E7</v>
      </c>
      <c r="H239" s="27">
        <v>8.6171672E7</v>
      </c>
      <c r="I239" s="27">
        <v>34260.0</v>
      </c>
      <c r="J239" s="27">
        <v>737.0</v>
      </c>
      <c r="K239" s="27">
        <v>547.0</v>
      </c>
      <c r="L239" s="57">
        <f t="shared" si="11"/>
        <v>2.389396709</v>
      </c>
    </row>
    <row r="240">
      <c r="A240" s="3"/>
      <c r="B240" s="3"/>
      <c r="C240" s="3"/>
      <c r="D240" s="3"/>
      <c r="F240" s="9" t="s">
        <v>16</v>
      </c>
      <c r="G240" s="27">
        <v>6.518101E7</v>
      </c>
      <c r="H240" s="27">
        <v>8.757536E7</v>
      </c>
      <c r="I240" s="27">
        <v>25584.0</v>
      </c>
      <c r="J240" s="27">
        <v>0.0</v>
      </c>
      <c r="K240" s="27">
        <v>547.0</v>
      </c>
      <c r="L240" s="57">
        <f t="shared" si="11"/>
        <v>2.389396709</v>
      </c>
    </row>
    <row r="241">
      <c r="A241" s="3"/>
      <c r="B241" s="3"/>
      <c r="C241" s="3"/>
      <c r="D241" s="3"/>
      <c r="E241" s="24">
        <v>32.0</v>
      </c>
      <c r="F241" s="3" t="s">
        <v>14</v>
      </c>
      <c r="G241" s="27">
        <v>6.5132532E7</v>
      </c>
      <c r="H241" s="27">
        <v>8.6349847E7</v>
      </c>
      <c r="I241" s="27">
        <v>23012.0</v>
      </c>
      <c r="J241" s="27">
        <v>1486.0</v>
      </c>
      <c r="K241" s="27">
        <v>533.0</v>
      </c>
      <c r="L241" s="57">
        <f t="shared" si="11"/>
        <v>2.452157598</v>
      </c>
    </row>
    <row r="242">
      <c r="A242" s="3"/>
      <c r="B242" s="3"/>
      <c r="C242" s="3"/>
      <c r="D242" s="3"/>
      <c r="F242" s="9" t="s">
        <v>15</v>
      </c>
      <c r="G242" s="27">
        <v>6.4589772E7</v>
      </c>
      <c r="H242" s="27">
        <v>8.5728963E7</v>
      </c>
      <c r="I242" s="27">
        <v>25127.0</v>
      </c>
      <c r="J242" s="27">
        <v>741.0</v>
      </c>
      <c r="K242" s="27">
        <v>560.0</v>
      </c>
      <c r="L242" s="57">
        <f t="shared" si="11"/>
        <v>2.333928571</v>
      </c>
    </row>
    <row r="243">
      <c r="A243" s="3"/>
      <c r="B243" s="3"/>
      <c r="C243" s="3"/>
      <c r="D243" s="3"/>
      <c r="F243" s="9" t="s">
        <v>16</v>
      </c>
      <c r="G243" s="27">
        <v>6.4857879E7</v>
      </c>
      <c r="H243" s="27">
        <v>8.6073885E7</v>
      </c>
      <c r="I243" s="27">
        <v>29967.0</v>
      </c>
      <c r="J243" s="27">
        <v>0.0</v>
      </c>
      <c r="K243" s="27">
        <v>541.0</v>
      </c>
      <c r="L243" s="57">
        <f t="shared" si="11"/>
        <v>2.415896488</v>
      </c>
    </row>
    <row r="244">
      <c r="A244" s="3"/>
      <c r="B244" s="9"/>
      <c r="C244" s="3"/>
      <c r="D244" s="3"/>
      <c r="E244" s="24">
        <v>64.0</v>
      </c>
      <c r="F244" s="3" t="s">
        <v>14</v>
      </c>
      <c r="G244" s="27">
        <v>6.4564826E7</v>
      </c>
      <c r="H244" s="27">
        <v>8.5752663E7</v>
      </c>
      <c r="I244" s="27">
        <v>30104.0</v>
      </c>
      <c r="J244" s="27">
        <v>1482.0</v>
      </c>
      <c r="K244" s="27">
        <v>527.0</v>
      </c>
      <c r="L244" s="57">
        <f t="shared" si="11"/>
        <v>2.480075901</v>
      </c>
    </row>
    <row r="245">
      <c r="A245" s="3"/>
      <c r="B245" s="9"/>
      <c r="C245" s="3"/>
      <c r="D245" s="3"/>
      <c r="F245" s="9" t="s">
        <v>15</v>
      </c>
      <c r="G245" s="27">
        <v>6.4955055E7</v>
      </c>
      <c r="H245" s="27">
        <v>8.6190873E7</v>
      </c>
      <c r="I245" s="27">
        <v>25480.0</v>
      </c>
      <c r="J245" s="27">
        <v>739.0</v>
      </c>
      <c r="K245" s="27">
        <v>531.0</v>
      </c>
      <c r="L245" s="57">
        <f t="shared" si="11"/>
        <v>2.461393597</v>
      </c>
    </row>
    <row r="246">
      <c r="A246" s="3"/>
      <c r="B246" s="9"/>
      <c r="C246" s="3"/>
      <c r="D246" s="3"/>
      <c r="F246" s="9" t="s">
        <v>16</v>
      </c>
      <c r="G246" s="27">
        <v>6.4606194E7</v>
      </c>
      <c r="H246" s="27">
        <v>8.5771184E7</v>
      </c>
      <c r="I246" s="27">
        <v>29011.0</v>
      </c>
      <c r="J246" s="27">
        <v>0.0</v>
      </c>
      <c r="K246" s="27">
        <v>532.0</v>
      </c>
      <c r="L246" s="57">
        <f t="shared" si="11"/>
        <v>2.456766917</v>
      </c>
    </row>
    <row r="247">
      <c r="A247" s="3"/>
      <c r="B247" s="9"/>
      <c r="C247" s="3"/>
      <c r="D247" s="3"/>
      <c r="F247" s="9"/>
      <c r="G247" s="27"/>
      <c r="H247" s="27"/>
      <c r="I247" s="27"/>
      <c r="J247" s="27"/>
      <c r="K247" s="27"/>
    </row>
    <row r="248">
      <c r="A248" s="3"/>
      <c r="B248" s="3"/>
      <c r="C248" s="13"/>
      <c r="D248" s="13"/>
      <c r="G248" s="22"/>
      <c r="H248" s="22"/>
      <c r="I248" s="22"/>
      <c r="J248" s="22"/>
      <c r="K248" s="22"/>
    </row>
    <row r="249">
      <c r="A249" s="3"/>
      <c r="B249" s="3"/>
      <c r="C249" s="9"/>
      <c r="D249" s="9">
        <v>128.0</v>
      </c>
      <c r="E249" s="24">
        <v>2.0</v>
      </c>
      <c r="F249" s="3" t="s">
        <v>14</v>
      </c>
      <c r="G249" s="27">
        <v>6.4915412E7</v>
      </c>
      <c r="H249" s="27">
        <v>8.6108842E7</v>
      </c>
      <c r="I249" s="27">
        <v>23235.0</v>
      </c>
      <c r="J249" s="27">
        <v>1490.0</v>
      </c>
      <c r="K249" s="27">
        <v>824.0</v>
      </c>
      <c r="L249" s="57">
        <f t="shared" ref="L249:L266" si="12">DIVIDE($K$227,K249)</f>
        <v>1.586165049</v>
      </c>
    </row>
    <row r="250">
      <c r="A250" s="3"/>
      <c r="B250" s="3"/>
      <c r="C250" s="9"/>
      <c r="D250" s="9"/>
      <c r="F250" s="9" t="s">
        <v>15</v>
      </c>
      <c r="G250" s="27">
        <v>6.4931942E7</v>
      </c>
      <c r="H250" s="27">
        <v>8.6162853E7</v>
      </c>
      <c r="I250" s="27">
        <v>25583.0</v>
      </c>
      <c r="J250" s="27">
        <v>745.0</v>
      </c>
      <c r="K250" s="27">
        <v>825.0</v>
      </c>
      <c r="L250" s="57">
        <f t="shared" si="12"/>
        <v>1.584242424</v>
      </c>
    </row>
    <row r="251">
      <c r="A251" s="3"/>
      <c r="B251" s="3"/>
      <c r="C251" s="9"/>
      <c r="D251" s="9"/>
      <c r="F251" s="9" t="s">
        <v>16</v>
      </c>
      <c r="G251" s="27">
        <v>6.5212495E7</v>
      </c>
      <c r="H251" s="27">
        <v>8.7588621E7</v>
      </c>
      <c r="I251" s="27">
        <v>24781.0</v>
      </c>
      <c r="J251" s="27">
        <v>0.0</v>
      </c>
      <c r="K251" s="27">
        <v>818.0</v>
      </c>
      <c r="L251" s="57">
        <f t="shared" si="12"/>
        <v>1.597799511</v>
      </c>
    </row>
    <row r="252">
      <c r="A252" s="3"/>
      <c r="B252" s="3"/>
      <c r="C252" s="9"/>
      <c r="D252" s="9"/>
      <c r="E252" s="24">
        <v>4.0</v>
      </c>
      <c r="F252" s="3" t="s">
        <v>14</v>
      </c>
      <c r="G252" s="27">
        <v>6.4637251E7</v>
      </c>
      <c r="H252" s="27">
        <v>8.6014994E7</v>
      </c>
      <c r="I252" s="27">
        <v>38341.0</v>
      </c>
      <c r="J252" s="27">
        <v>1487.0</v>
      </c>
      <c r="K252" s="27">
        <v>866.0</v>
      </c>
      <c r="L252" s="57">
        <f t="shared" si="12"/>
        <v>1.509237875</v>
      </c>
    </row>
    <row r="253">
      <c r="A253" s="3"/>
      <c r="B253" s="3"/>
      <c r="C253" s="9"/>
      <c r="D253" s="9"/>
      <c r="F253" s="9" t="s">
        <v>15</v>
      </c>
      <c r="G253" s="27">
        <v>6.507315E7</v>
      </c>
      <c r="H253" s="27">
        <v>8.6437558E7</v>
      </c>
      <c r="I253" s="27">
        <v>142700.0</v>
      </c>
      <c r="J253" s="27">
        <v>743.0</v>
      </c>
      <c r="K253" s="27">
        <v>826.0</v>
      </c>
      <c r="L253" s="57">
        <f t="shared" si="12"/>
        <v>1.582324455</v>
      </c>
    </row>
    <row r="254">
      <c r="A254" s="3"/>
      <c r="B254" s="3"/>
      <c r="C254" s="9"/>
      <c r="D254" s="9"/>
      <c r="F254" s="9" t="s">
        <v>16</v>
      </c>
      <c r="G254" s="27">
        <v>6.483892E7</v>
      </c>
      <c r="H254" s="27">
        <v>8.6035953E7</v>
      </c>
      <c r="I254" s="27">
        <v>22390.0</v>
      </c>
      <c r="J254" s="27">
        <v>0.0</v>
      </c>
      <c r="K254" s="27">
        <v>817.0</v>
      </c>
      <c r="L254" s="57">
        <f t="shared" si="12"/>
        <v>1.599755202</v>
      </c>
    </row>
    <row r="255">
      <c r="A255" s="3"/>
      <c r="B255" s="3"/>
      <c r="C255" s="3"/>
      <c r="D255" s="3"/>
      <c r="E255" s="24">
        <v>8.0</v>
      </c>
      <c r="F255" s="3" t="s">
        <v>14</v>
      </c>
      <c r="G255" s="27">
        <v>6.4586883E7</v>
      </c>
      <c r="H255" s="27">
        <v>8.5702118E7</v>
      </c>
      <c r="I255" s="27">
        <v>38607.0</v>
      </c>
      <c r="J255" s="27">
        <v>1485.0</v>
      </c>
      <c r="K255" s="27">
        <v>849.0</v>
      </c>
      <c r="L255" s="57">
        <f t="shared" si="12"/>
        <v>1.539458186</v>
      </c>
    </row>
    <row r="256">
      <c r="A256" s="3"/>
      <c r="B256" s="3"/>
      <c r="C256" s="3"/>
      <c r="D256" s="3"/>
      <c r="F256" s="9" t="s">
        <v>15</v>
      </c>
      <c r="G256" s="27">
        <v>6.4545993E7</v>
      </c>
      <c r="H256" s="27">
        <v>8.5708799E7</v>
      </c>
      <c r="I256" s="27">
        <v>22815.0</v>
      </c>
      <c r="J256" s="27">
        <v>744.0</v>
      </c>
      <c r="K256" s="27">
        <v>838.0</v>
      </c>
      <c r="L256" s="57">
        <f t="shared" si="12"/>
        <v>1.559665871</v>
      </c>
    </row>
    <row r="257">
      <c r="A257" s="3"/>
      <c r="B257" s="3"/>
      <c r="C257" s="3"/>
      <c r="D257" s="3"/>
      <c r="F257" s="9" t="s">
        <v>16</v>
      </c>
      <c r="G257" s="27">
        <v>6.4920971E7</v>
      </c>
      <c r="H257" s="27">
        <v>8.6077165E7</v>
      </c>
      <c r="I257" s="27">
        <v>21770.0</v>
      </c>
      <c r="J257" s="27">
        <v>0.0</v>
      </c>
      <c r="K257" s="27">
        <v>829.0</v>
      </c>
      <c r="L257" s="57">
        <f t="shared" si="12"/>
        <v>1.576598311</v>
      </c>
    </row>
    <row r="258">
      <c r="A258" s="3"/>
      <c r="B258" s="3"/>
      <c r="C258" s="3"/>
      <c r="D258" s="3"/>
      <c r="E258" s="24">
        <v>16.0</v>
      </c>
      <c r="F258" s="3" t="s">
        <v>14</v>
      </c>
      <c r="G258" s="27">
        <v>6.4963373E7</v>
      </c>
      <c r="H258" s="27">
        <v>8.616217E7</v>
      </c>
      <c r="I258" s="27">
        <v>23248.0</v>
      </c>
      <c r="J258" s="27">
        <v>1485.0</v>
      </c>
      <c r="K258" s="27">
        <v>830.0</v>
      </c>
      <c r="L258" s="57">
        <f t="shared" si="12"/>
        <v>1.574698795</v>
      </c>
    </row>
    <row r="259">
      <c r="A259" s="3"/>
      <c r="B259" s="3"/>
      <c r="C259" s="3"/>
      <c r="D259" s="3"/>
      <c r="F259" s="9" t="s">
        <v>15</v>
      </c>
      <c r="G259" s="27">
        <v>6.4921553E7</v>
      </c>
      <c r="H259" s="27">
        <v>8.6130316E7</v>
      </c>
      <c r="I259" s="27">
        <v>22966.0</v>
      </c>
      <c r="J259" s="27">
        <v>742.0</v>
      </c>
      <c r="K259" s="27">
        <v>833.0</v>
      </c>
      <c r="L259" s="57">
        <f t="shared" si="12"/>
        <v>1.569027611</v>
      </c>
    </row>
    <row r="260">
      <c r="A260" s="3"/>
      <c r="B260" s="3"/>
      <c r="C260" s="3"/>
      <c r="D260" s="3"/>
      <c r="F260" s="9" t="s">
        <v>16</v>
      </c>
      <c r="G260" s="27">
        <v>6.4623801E7</v>
      </c>
      <c r="H260" s="27">
        <v>8.579934E7</v>
      </c>
      <c r="I260" s="27">
        <v>23798.0</v>
      </c>
      <c r="J260" s="27">
        <v>0.0</v>
      </c>
      <c r="K260" s="27">
        <v>845.0</v>
      </c>
      <c r="L260" s="57">
        <f t="shared" si="12"/>
        <v>1.546745562</v>
      </c>
    </row>
    <row r="261">
      <c r="A261" s="3"/>
      <c r="B261" s="3"/>
      <c r="C261" s="3"/>
      <c r="D261" s="3"/>
      <c r="E261" s="24">
        <v>32.0</v>
      </c>
      <c r="F261" s="3" t="s">
        <v>14</v>
      </c>
      <c r="G261" s="27">
        <v>6.4559126E7</v>
      </c>
      <c r="H261" s="27">
        <v>8.5647032E7</v>
      </c>
      <c r="I261" s="27">
        <v>24045.0</v>
      </c>
      <c r="J261" s="27">
        <v>1484.0</v>
      </c>
      <c r="K261" s="27">
        <v>854.0</v>
      </c>
      <c r="L261" s="57">
        <f t="shared" si="12"/>
        <v>1.530444965</v>
      </c>
    </row>
    <row r="262">
      <c r="A262" s="3"/>
      <c r="B262" s="3"/>
      <c r="C262" s="3"/>
      <c r="D262" s="3"/>
      <c r="F262" s="9" t="s">
        <v>15</v>
      </c>
      <c r="G262" s="27">
        <v>6.4996415E7</v>
      </c>
      <c r="H262" s="27">
        <v>8.6110168E7</v>
      </c>
      <c r="I262" s="27">
        <v>21528.0</v>
      </c>
      <c r="J262" s="27">
        <v>743.0</v>
      </c>
      <c r="K262" s="27">
        <v>819.0</v>
      </c>
      <c r="L262" s="57">
        <f t="shared" si="12"/>
        <v>1.595848596</v>
      </c>
    </row>
    <row r="263">
      <c r="A263" s="3"/>
      <c r="B263" s="3"/>
      <c r="C263" s="3"/>
      <c r="D263" s="3"/>
      <c r="F263" s="9" t="s">
        <v>16</v>
      </c>
      <c r="G263" s="27">
        <v>6.4519787E7</v>
      </c>
      <c r="H263" s="27">
        <v>8.5643621E7</v>
      </c>
      <c r="I263" s="27">
        <v>25407.0</v>
      </c>
      <c r="J263" s="27">
        <v>0.0</v>
      </c>
      <c r="K263" s="27">
        <v>875.0</v>
      </c>
      <c r="L263" s="57">
        <f t="shared" si="12"/>
        <v>1.493714286</v>
      </c>
    </row>
    <row r="264">
      <c r="A264" s="3"/>
      <c r="B264" s="9"/>
      <c r="C264" s="3"/>
      <c r="D264" s="3"/>
      <c r="E264" s="24">
        <v>64.0</v>
      </c>
      <c r="F264" s="3" t="s">
        <v>14</v>
      </c>
      <c r="G264" s="27">
        <v>6.485333E7</v>
      </c>
      <c r="H264" s="27">
        <v>8.6070071E7</v>
      </c>
      <c r="I264" s="27">
        <v>23201.0</v>
      </c>
      <c r="J264" s="27">
        <v>1481.0</v>
      </c>
      <c r="K264" s="27">
        <v>821.0</v>
      </c>
      <c r="L264" s="57">
        <f t="shared" si="12"/>
        <v>1.591961023</v>
      </c>
    </row>
    <row r="265">
      <c r="A265" s="3"/>
      <c r="B265" s="9"/>
      <c r="C265" s="3"/>
      <c r="D265" s="3"/>
      <c r="F265" s="9" t="s">
        <v>15</v>
      </c>
      <c r="G265" s="27">
        <v>6.453235E7</v>
      </c>
      <c r="H265" s="27">
        <v>8.5666612E7</v>
      </c>
      <c r="I265" s="27">
        <v>23406.0</v>
      </c>
      <c r="J265" s="27">
        <v>736.0</v>
      </c>
      <c r="K265" s="27">
        <v>857.0</v>
      </c>
      <c r="L265" s="57">
        <f t="shared" si="12"/>
        <v>1.525087515</v>
      </c>
    </row>
    <row r="266">
      <c r="A266" s="3"/>
      <c r="B266" s="9"/>
      <c r="C266" s="3"/>
      <c r="D266" s="3"/>
      <c r="F266" s="9" t="s">
        <v>16</v>
      </c>
      <c r="G266" s="27">
        <v>6.4982962E7</v>
      </c>
      <c r="H266" s="27">
        <v>8.6353701E7</v>
      </c>
      <c r="I266" s="27">
        <v>81986.0</v>
      </c>
      <c r="J266" s="27">
        <v>0.0</v>
      </c>
      <c r="K266" s="27">
        <v>829.0</v>
      </c>
      <c r="L266" s="57">
        <f t="shared" si="12"/>
        <v>1.576598311</v>
      </c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2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2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2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2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23"/>
    </row>
    <row r="272">
      <c r="A272" s="3"/>
      <c r="B272" s="6" t="s">
        <v>17</v>
      </c>
      <c r="C272" s="6">
        <v>1024.0</v>
      </c>
      <c r="D272" s="6" t="s">
        <v>12</v>
      </c>
      <c r="E272" s="6" t="s">
        <v>12</v>
      </c>
      <c r="F272" s="6" t="s">
        <v>12</v>
      </c>
      <c r="G272" s="6">
        <v>1.4375891E8</v>
      </c>
      <c r="H272" s="6">
        <v>1.335262524E9</v>
      </c>
      <c r="I272" s="6">
        <v>4174294.0</v>
      </c>
      <c r="J272" s="6">
        <v>347.474531347</v>
      </c>
      <c r="K272" s="6">
        <v>435234.0</v>
      </c>
      <c r="L272" s="60"/>
    </row>
    <row r="273">
      <c r="A273" s="4"/>
      <c r="B273" s="3"/>
      <c r="C273" s="13"/>
      <c r="D273" s="13"/>
      <c r="G273" s="22"/>
      <c r="H273" s="22"/>
      <c r="I273" s="22"/>
      <c r="J273" s="22"/>
      <c r="K273" s="22"/>
    </row>
    <row r="274">
      <c r="A274" s="8" t="s">
        <v>10</v>
      </c>
      <c r="B274" s="3"/>
      <c r="C274" s="9"/>
      <c r="D274" s="9">
        <v>256.0</v>
      </c>
      <c r="E274" s="24">
        <v>2.0</v>
      </c>
      <c r="F274" s="3" t="s">
        <v>14</v>
      </c>
      <c r="G274" s="27">
        <v>1.73555171E8</v>
      </c>
      <c r="H274" s="27">
        <v>2.55123611E8</v>
      </c>
      <c r="I274" s="27">
        <v>2806004.0</v>
      </c>
      <c r="J274" s="27">
        <v>987.0</v>
      </c>
      <c r="K274" s="27">
        <v>967620.0</v>
      </c>
      <c r="L274" s="57">
        <f t="shared" ref="L274:L288" si="13">DIVIDE($K$272,K274)</f>
        <v>0.4497984746</v>
      </c>
    </row>
    <row r="275">
      <c r="A275" s="8" t="s">
        <v>13</v>
      </c>
      <c r="B275" s="3"/>
      <c r="C275" s="9"/>
      <c r="D275" s="9"/>
      <c r="F275" s="9" t="s">
        <v>15</v>
      </c>
      <c r="G275" s="27">
        <v>1.65616233E8</v>
      </c>
      <c r="H275" s="27">
        <v>2.23892256E8</v>
      </c>
      <c r="I275" s="27">
        <v>290539.0</v>
      </c>
      <c r="J275" s="27">
        <v>53.0</v>
      </c>
      <c r="K275" s="27">
        <v>7804179.0</v>
      </c>
      <c r="L275" s="57">
        <f t="shared" si="13"/>
        <v>0.05576935127</v>
      </c>
    </row>
    <row r="276">
      <c r="A276" s="12"/>
      <c r="B276" s="3"/>
      <c r="C276" s="9"/>
      <c r="D276" s="9"/>
      <c r="F276" s="9" t="s">
        <v>16</v>
      </c>
      <c r="G276" s="27">
        <v>1.66684621E8</v>
      </c>
      <c r="H276" s="27">
        <v>2.19822834E8</v>
      </c>
      <c r="I276" s="27">
        <v>198887.0</v>
      </c>
      <c r="J276" s="27">
        <v>0.0</v>
      </c>
      <c r="K276" s="27">
        <v>1816444.0</v>
      </c>
      <c r="L276" s="57">
        <f t="shared" si="13"/>
        <v>0.2396077171</v>
      </c>
    </row>
    <row r="277">
      <c r="A277" s="8"/>
      <c r="B277" s="3"/>
      <c r="C277" s="9"/>
      <c r="D277" s="9"/>
      <c r="E277" s="24">
        <v>4.0</v>
      </c>
      <c r="F277" s="3" t="s">
        <v>14</v>
      </c>
      <c r="G277" s="27">
        <v>1.63775912E8</v>
      </c>
      <c r="H277" s="27">
        <v>2.18087972E8</v>
      </c>
      <c r="I277" s="27">
        <v>170860.0</v>
      </c>
      <c r="J277" s="27">
        <v>981.0</v>
      </c>
      <c r="K277" s="27">
        <v>490666.0</v>
      </c>
      <c r="L277" s="57">
        <f t="shared" si="13"/>
        <v>0.8870270204</v>
      </c>
    </row>
    <row r="278">
      <c r="A278" s="8"/>
      <c r="B278" s="3"/>
      <c r="C278" s="9"/>
      <c r="D278" s="9"/>
      <c r="F278" s="9" t="s">
        <v>15</v>
      </c>
      <c r="G278" s="27">
        <v>1.67069319E8</v>
      </c>
      <c r="H278" s="27">
        <v>2.16699504E8</v>
      </c>
      <c r="I278" s="27">
        <v>156555.0</v>
      </c>
      <c r="J278" s="27">
        <v>465.0</v>
      </c>
      <c r="K278" s="27">
        <v>605259.0</v>
      </c>
      <c r="L278" s="57">
        <f t="shared" si="13"/>
        <v>0.7190872007</v>
      </c>
    </row>
    <row r="279">
      <c r="A279" s="8"/>
      <c r="B279" s="3"/>
      <c r="C279" s="9"/>
      <c r="D279" s="9"/>
      <c r="F279" s="9" t="s">
        <v>16</v>
      </c>
      <c r="G279" s="27">
        <v>1.79793147E8</v>
      </c>
      <c r="H279" s="27">
        <v>2.6108441E8</v>
      </c>
      <c r="I279" s="27">
        <v>3347824.0</v>
      </c>
      <c r="J279" s="27">
        <v>0.0</v>
      </c>
      <c r="K279" s="27">
        <v>563675.0</v>
      </c>
      <c r="L279" s="57">
        <f t="shared" si="13"/>
        <v>0.7721364261</v>
      </c>
    </row>
    <row r="280">
      <c r="A280" s="8"/>
      <c r="B280" s="3"/>
      <c r="C280" s="3"/>
      <c r="D280" s="3"/>
      <c r="E280" s="24">
        <v>8.0</v>
      </c>
      <c r="F280" s="3" t="s">
        <v>14</v>
      </c>
      <c r="G280" s="27">
        <v>1.70234208E8</v>
      </c>
      <c r="H280" s="27">
        <v>2.21102459E8</v>
      </c>
      <c r="I280" s="27">
        <v>149193.0</v>
      </c>
      <c r="J280" s="27">
        <v>1177.0</v>
      </c>
      <c r="K280" s="27">
        <v>452648.0</v>
      </c>
      <c r="L280" s="57">
        <f t="shared" si="13"/>
        <v>0.961528605</v>
      </c>
    </row>
    <row r="281">
      <c r="A281" s="8"/>
      <c r="B281" s="3"/>
      <c r="C281" s="3"/>
      <c r="D281" s="3"/>
      <c r="F281" s="9" t="s">
        <v>15</v>
      </c>
      <c r="G281" s="27">
        <v>1.65331914E8</v>
      </c>
      <c r="H281" s="27">
        <v>2.11925059E8</v>
      </c>
      <c r="I281" s="27">
        <v>141703.0</v>
      </c>
      <c r="J281" s="27">
        <v>446.0</v>
      </c>
      <c r="K281" s="27">
        <v>491646.0</v>
      </c>
      <c r="L281" s="57">
        <f t="shared" si="13"/>
        <v>0.8852589058</v>
      </c>
    </row>
    <row r="282">
      <c r="A282" s="8"/>
      <c r="B282" s="3"/>
      <c r="C282" s="3"/>
      <c r="D282" s="3"/>
      <c r="F282" s="9" t="s">
        <v>16</v>
      </c>
      <c r="G282" s="27">
        <v>1.71989043E8</v>
      </c>
      <c r="H282" s="27">
        <v>2.55038747E8</v>
      </c>
      <c r="I282" s="27">
        <v>2411783.0</v>
      </c>
      <c r="J282" s="27">
        <v>0.0</v>
      </c>
      <c r="K282" s="27">
        <v>423397.0</v>
      </c>
      <c r="L282" s="57">
        <f t="shared" si="13"/>
        <v>1.027957213</v>
      </c>
    </row>
    <row r="283">
      <c r="A283" s="8"/>
      <c r="B283" s="3"/>
      <c r="C283" s="3"/>
      <c r="D283" s="3"/>
      <c r="E283" s="24">
        <v>16.0</v>
      </c>
      <c r="F283" s="3" t="s">
        <v>14</v>
      </c>
      <c r="G283" s="27">
        <v>1.60491885E8</v>
      </c>
      <c r="H283" s="27">
        <v>2.1250737E8</v>
      </c>
      <c r="I283" s="27">
        <v>143429.0</v>
      </c>
      <c r="J283" s="27">
        <v>1190.0</v>
      </c>
      <c r="K283" s="27">
        <v>448507.0</v>
      </c>
      <c r="L283" s="57">
        <f t="shared" si="13"/>
        <v>0.970406259</v>
      </c>
    </row>
    <row r="284">
      <c r="A284" s="8"/>
      <c r="B284" s="3"/>
      <c r="C284" s="3"/>
      <c r="D284" s="3"/>
      <c r="F284" s="9" t="s">
        <v>15</v>
      </c>
      <c r="G284" s="27">
        <v>1.63704296E8</v>
      </c>
      <c r="H284" s="27">
        <v>2.13836261E8</v>
      </c>
      <c r="I284" s="27">
        <v>138005.0</v>
      </c>
      <c r="J284" s="27">
        <v>434.0</v>
      </c>
      <c r="K284" s="27">
        <v>480117.0</v>
      </c>
      <c r="L284" s="57">
        <f t="shared" si="13"/>
        <v>0.9065165366</v>
      </c>
    </row>
    <row r="285">
      <c r="A285" s="8"/>
      <c r="B285" s="3"/>
      <c r="C285" s="3"/>
      <c r="D285" s="3"/>
      <c r="F285" s="9" t="s">
        <v>16</v>
      </c>
      <c r="G285" s="27">
        <v>1.62577265E8</v>
      </c>
      <c r="H285" s="27">
        <v>2.17604377E8</v>
      </c>
      <c r="I285" s="27">
        <v>168612.0</v>
      </c>
      <c r="J285" s="27">
        <v>0.0</v>
      </c>
      <c r="K285" s="27">
        <v>539731.0</v>
      </c>
      <c r="L285" s="57">
        <f t="shared" si="13"/>
        <v>0.8063905909</v>
      </c>
    </row>
    <row r="286">
      <c r="A286" s="8"/>
      <c r="B286" s="3"/>
      <c r="C286" s="3"/>
      <c r="D286" s="3"/>
      <c r="E286" s="24">
        <v>32.0</v>
      </c>
      <c r="F286" s="3" t="s">
        <v>14</v>
      </c>
      <c r="G286" s="27">
        <v>1.61759605E8</v>
      </c>
      <c r="H286" s="27">
        <v>2.08889095E8</v>
      </c>
      <c r="I286" s="27">
        <v>154097.0</v>
      </c>
      <c r="J286" s="27">
        <v>1176.0</v>
      </c>
      <c r="K286" s="27">
        <v>453338.0</v>
      </c>
      <c r="L286" s="57">
        <f t="shared" si="13"/>
        <v>0.960065117</v>
      </c>
    </row>
    <row r="287">
      <c r="A287" s="8"/>
      <c r="B287" s="3"/>
      <c r="C287" s="3"/>
      <c r="D287" s="3"/>
      <c r="F287" s="9" t="s">
        <v>15</v>
      </c>
      <c r="G287" s="27">
        <v>1.59566272E8</v>
      </c>
      <c r="H287" s="27">
        <v>2.09234305E8</v>
      </c>
      <c r="I287" s="27">
        <v>139559.0</v>
      </c>
      <c r="J287" s="27">
        <v>399.0</v>
      </c>
      <c r="K287" s="27">
        <v>572293.0</v>
      </c>
      <c r="L287" s="57">
        <f t="shared" si="13"/>
        <v>0.7605090399</v>
      </c>
    </row>
    <row r="288">
      <c r="A288" s="8"/>
      <c r="B288" s="3"/>
      <c r="C288" s="3"/>
      <c r="D288" s="3"/>
      <c r="F288" s="9" t="s">
        <v>16</v>
      </c>
      <c r="G288" s="27">
        <v>1.65657277E8</v>
      </c>
      <c r="H288" s="27">
        <v>2.11813942E8</v>
      </c>
      <c r="I288" s="27">
        <v>141671.0</v>
      </c>
      <c r="J288" s="27">
        <v>0.0</v>
      </c>
      <c r="K288" s="27">
        <v>488231.0</v>
      </c>
      <c r="L288" s="57">
        <f t="shared" si="13"/>
        <v>0.891450973</v>
      </c>
    </row>
    <row r="289">
      <c r="A289" s="15"/>
      <c r="B289" s="9"/>
      <c r="C289" s="3"/>
      <c r="D289" s="3"/>
      <c r="F289" s="3"/>
      <c r="G289" s="22"/>
      <c r="H289" s="22"/>
      <c r="I289" s="22"/>
      <c r="J289" s="22"/>
      <c r="K289" s="22"/>
    </row>
    <row r="290">
      <c r="B290" s="9"/>
      <c r="C290" s="3"/>
      <c r="D290" s="3"/>
      <c r="F290" s="9"/>
      <c r="G290" s="22"/>
      <c r="H290" s="22"/>
      <c r="I290" s="22"/>
      <c r="J290" s="22"/>
      <c r="K290" s="22"/>
    </row>
    <row r="291">
      <c r="B291" s="9"/>
      <c r="C291" s="3"/>
      <c r="D291" s="3"/>
      <c r="F291" s="9"/>
      <c r="G291" s="22"/>
      <c r="H291" s="22"/>
      <c r="I291" s="22"/>
      <c r="J291" s="22"/>
      <c r="K291" s="22"/>
    </row>
    <row r="292">
      <c r="A292" s="8" t="s">
        <v>10</v>
      </c>
      <c r="B292" s="9"/>
      <c r="C292" s="3"/>
      <c r="D292" s="3"/>
      <c r="F292" s="9"/>
      <c r="G292" s="27"/>
      <c r="H292" s="27"/>
      <c r="I292" s="27"/>
      <c r="J292" s="27"/>
      <c r="K292" s="27"/>
    </row>
    <row r="293">
      <c r="A293" s="8" t="s">
        <v>13</v>
      </c>
      <c r="B293" s="3"/>
      <c r="C293" s="13"/>
      <c r="D293" s="13"/>
      <c r="G293" s="22"/>
      <c r="H293" s="22"/>
      <c r="I293" s="22"/>
      <c r="J293" s="22"/>
      <c r="K293" s="22"/>
    </row>
    <row r="294">
      <c r="A294" s="12"/>
      <c r="B294" s="3"/>
      <c r="C294" s="9"/>
      <c r="D294" s="9">
        <v>128.0</v>
      </c>
      <c r="E294" s="24">
        <v>2.0</v>
      </c>
      <c r="F294" s="3" t="s">
        <v>14</v>
      </c>
      <c r="G294" s="27">
        <v>1.7811004E8</v>
      </c>
      <c r="H294" s="27">
        <v>2.60754887E8</v>
      </c>
      <c r="I294" s="27">
        <v>3557673.0</v>
      </c>
      <c r="J294" s="27">
        <v>904.0</v>
      </c>
      <c r="K294" s="27">
        <v>598588.0</v>
      </c>
      <c r="L294" s="57">
        <f t="shared" ref="L294:L311" si="14">DIVIDE($K$272,K294)</f>
        <v>0.7271011113</v>
      </c>
    </row>
    <row r="295">
      <c r="A295" s="8"/>
      <c r="B295" s="3"/>
      <c r="C295" s="9"/>
      <c r="D295" s="9"/>
      <c r="F295" s="9" t="s">
        <v>15</v>
      </c>
      <c r="G295" s="27">
        <v>1.64255697E8</v>
      </c>
      <c r="H295" s="27">
        <v>2.14617112E8</v>
      </c>
      <c r="I295" s="27">
        <v>154107.0</v>
      </c>
      <c r="J295" s="27">
        <v>244.0</v>
      </c>
      <c r="K295" s="27">
        <v>504845.0</v>
      </c>
      <c r="L295" s="57">
        <f t="shared" si="14"/>
        <v>0.8621141142</v>
      </c>
    </row>
    <row r="296">
      <c r="A296" s="8"/>
      <c r="B296" s="3"/>
      <c r="C296" s="9"/>
      <c r="D296" s="9"/>
      <c r="F296" s="9" t="s">
        <v>16</v>
      </c>
      <c r="G296" s="27">
        <v>1.67919925E8</v>
      </c>
      <c r="H296" s="27">
        <v>2.56750374E8</v>
      </c>
      <c r="I296" s="27">
        <v>3421963.0</v>
      </c>
      <c r="J296" s="27">
        <v>0.0</v>
      </c>
      <c r="K296" s="27">
        <v>427229.0</v>
      </c>
      <c r="L296" s="57">
        <f t="shared" si="14"/>
        <v>1.018737024</v>
      </c>
    </row>
    <row r="297">
      <c r="A297" s="8"/>
      <c r="B297" s="3"/>
      <c r="C297" s="9"/>
      <c r="D297" s="9"/>
      <c r="E297" s="24">
        <v>4.0</v>
      </c>
      <c r="F297" s="3" t="s">
        <v>14</v>
      </c>
      <c r="G297" s="27">
        <v>1.60828497E8</v>
      </c>
      <c r="H297" s="27">
        <v>2.10444135E8</v>
      </c>
      <c r="I297" s="27">
        <v>140765.0</v>
      </c>
      <c r="J297" s="27">
        <v>1005.0</v>
      </c>
      <c r="K297" s="27">
        <v>539656.0</v>
      </c>
      <c r="L297" s="57">
        <f t="shared" si="14"/>
        <v>0.806502661</v>
      </c>
    </row>
    <row r="298">
      <c r="A298" s="8"/>
      <c r="B298" s="3"/>
      <c r="C298" s="9"/>
      <c r="D298" s="9"/>
      <c r="F298" s="9" t="s">
        <v>15</v>
      </c>
      <c r="G298" s="27">
        <v>1.66740836E8</v>
      </c>
      <c r="H298" s="27">
        <v>2.10714687E8</v>
      </c>
      <c r="I298" s="27">
        <v>145523.0</v>
      </c>
      <c r="J298" s="27">
        <v>452.0</v>
      </c>
      <c r="K298" s="27">
        <v>480428.0</v>
      </c>
      <c r="L298" s="57">
        <f t="shared" si="14"/>
        <v>0.9059297127</v>
      </c>
    </row>
    <row r="299">
      <c r="A299" s="8"/>
      <c r="B299" s="3"/>
      <c r="C299" s="9"/>
      <c r="D299" s="9"/>
      <c r="F299" s="9" t="s">
        <v>16</v>
      </c>
      <c r="G299" s="27">
        <v>1.68372194E8</v>
      </c>
      <c r="H299" s="27">
        <v>2.53448643E8</v>
      </c>
      <c r="I299" s="27">
        <v>3344069.0</v>
      </c>
      <c r="J299" s="27">
        <v>0.0</v>
      </c>
      <c r="K299" s="27">
        <v>873383.0</v>
      </c>
      <c r="L299" s="57">
        <f t="shared" si="14"/>
        <v>0.4983312018</v>
      </c>
    </row>
    <row r="300">
      <c r="A300" s="8"/>
      <c r="B300" s="3"/>
      <c r="C300" s="3"/>
      <c r="D300" s="3"/>
      <c r="E300" s="24">
        <v>8.0</v>
      </c>
      <c r="F300" s="3" t="s">
        <v>14</v>
      </c>
      <c r="G300" s="27">
        <v>1.86762183E8</v>
      </c>
      <c r="H300" s="27">
        <v>2.62894294E8</v>
      </c>
      <c r="I300" s="27">
        <v>2746307.0</v>
      </c>
      <c r="J300" s="27">
        <v>1214.0</v>
      </c>
      <c r="K300" s="27">
        <v>407342.0</v>
      </c>
      <c r="L300" s="57">
        <f t="shared" si="14"/>
        <v>1.068473175</v>
      </c>
    </row>
    <row r="301">
      <c r="A301" s="8"/>
      <c r="B301" s="3"/>
      <c r="C301" s="3"/>
      <c r="D301" s="3"/>
      <c r="F301" s="9" t="s">
        <v>15</v>
      </c>
      <c r="G301" s="27">
        <v>1.61882472E8</v>
      </c>
      <c r="H301" s="27">
        <v>2.14797311E8</v>
      </c>
      <c r="I301" s="27">
        <v>142482.0</v>
      </c>
      <c r="J301" s="27">
        <v>81.0</v>
      </c>
      <c r="K301" s="27">
        <v>496435.0</v>
      </c>
      <c r="L301" s="57">
        <f t="shared" si="14"/>
        <v>0.8767190065</v>
      </c>
    </row>
    <row r="302">
      <c r="A302" s="8"/>
      <c r="B302" s="3"/>
      <c r="C302" s="3"/>
      <c r="D302" s="3"/>
      <c r="F302" s="9" t="s">
        <v>16</v>
      </c>
      <c r="G302" s="27">
        <v>1.76045812E8</v>
      </c>
      <c r="H302" s="27">
        <v>2.62889191E8</v>
      </c>
      <c r="I302" s="27">
        <v>4314653.0</v>
      </c>
      <c r="J302" s="27">
        <v>0.0</v>
      </c>
      <c r="K302" s="27">
        <v>454185.0</v>
      </c>
      <c r="L302" s="57">
        <f t="shared" si="14"/>
        <v>0.9582747118</v>
      </c>
    </row>
    <row r="303">
      <c r="A303" s="8"/>
      <c r="B303" s="3"/>
      <c r="C303" s="3"/>
      <c r="D303" s="3"/>
      <c r="E303" s="24">
        <v>16.0</v>
      </c>
      <c r="F303" s="3" t="s">
        <v>14</v>
      </c>
      <c r="G303" s="27">
        <v>1.61103082E8</v>
      </c>
      <c r="H303" s="27">
        <v>2.15038511E8</v>
      </c>
      <c r="I303" s="27">
        <v>141287.0</v>
      </c>
      <c r="J303" s="27">
        <v>1040.0</v>
      </c>
      <c r="K303" s="27">
        <v>407590.0</v>
      </c>
      <c r="L303" s="57">
        <f t="shared" si="14"/>
        <v>1.067823057</v>
      </c>
    </row>
    <row r="304">
      <c r="A304" s="8"/>
      <c r="B304" s="3"/>
      <c r="C304" s="3"/>
      <c r="D304" s="3"/>
      <c r="F304" s="9" t="s">
        <v>15</v>
      </c>
      <c r="G304" s="27">
        <v>1.62456603E8</v>
      </c>
      <c r="H304" s="27">
        <v>2.10818282E8</v>
      </c>
      <c r="I304" s="27">
        <v>142788.0</v>
      </c>
      <c r="J304" s="27">
        <v>429.0</v>
      </c>
      <c r="K304" s="27">
        <v>553206.0</v>
      </c>
      <c r="L304" s="57">
        <f t="shared" si="14"/>
        <v>0.7867485168</v>
      </c>
    </row>
    <row r="305">
      <c r="A305" s="8"/>
      <c r="B305" s="3"/>
      <c r="C305" s="3"/>
      <c r="D305" s="3"/>
      <c r="F305" s="9" t="s">
        <v>16</v>
      </c>
      <c r="G305" s="27">
        <v>1.68833042E8</v>
      </c>
      <c r="H305" s="27">
        <v>2.5169043E8</v>
      </c>
      <c r="I305" s="27">
        <v>2624803.0</v>
      </c>
      <c r="J305" s="27">
        <v>0.0</v>
      </c>
      <c r="K305" s="27">
        <v>1002760.0</v>
      </c>
      <c r="L305" s="57">
        <f t="shared" si="14"/>
        <v>0.4340360605</v>
      </c>
    </row>
    <row r="306">
      <c r="A306" s="8"/>
      <c r="B306" s="3"/>
      <c r="C306" s="3"/>
      <c r="D306" s="3"/>
      <c r="E306" s="24">
        <v>32.0</v>
      </c>
      <c r="F306" s="3" t="s">
        <v>14</v>
      </c>
      <c r="G306" s="27">
        <v>1.65852975E8</v>
      </c>
      <c r="H306" s="27">
        <v>2.15089623E8</v>
      </c>
      <c r="I306" s="27">
        <v>160113.0</v>
      </c>
      <c r="J306" s="27">
        <v>924.0</v>
      </c>
      <c r="K306" s="27">
        <v>573010.0</v>
      </c>
      <c r="L306" s="57">
        <f t="shared" si="14"/>
        <v>0.7595574248</v>
      </c>
    </row>
    <row r="307">
      <c r="A307" s="15"/>
      <c r="B307" s="3"/>
      <c r="C307" s="3"/>
      <c r="D307" s="3"/>
      <c r="F307" s="9" t="s">
        <v>15</v>
      </c>
      <c r="G307" s="27">
        <v>1.65126813E8</v>
      </c>
      <c r="H307" s="27">
        <v>2.15048499E8</v>
      </c>
      <c r="I307" s="27">
        <v>150151.0</v>
      </c>
      <c r="J307" s="27">
        <v>458.0</v>
      </c>
      <c r="K307" s="27">
        <v>487785.0</v>
      </c>
      <c r="L307" s="57">
        <f t="shared" si="14"/>
        <v>0.8922660598</v>
      </c>
    </row>
    <row r="308">
      <c r="A308" s="3"/>
      <c r="B308" s="3"/>
      <c r="C308" s="3"/>
      <c r="D308" s="3"/>
      <c r="F308" s="9" t="s">
        <v>16</v>
      </c>
      <c r="G308" s="27">
        <v>1.63028414E8</v>
      </c>
      <c r="H308" s="27">
        <v>2.14283403E8</v>
      </c>
      <c r="I308" s="27">
        <v>150913.0</v>
      </c>
      <c r="J308" s="27">
        <v>0.0</v>
      </c>
      <c r="K308" s="27">
        <v>441225.0</v>
      </c>
      <c r="L308" s="57">
        <f t="shared" si="14"/>
        <v>0.9864218936</v>
      </c>
    </row>
    <row r="309">
      <c r="A309" s="3"/>
      <c r="B309" s="9"/>
      <c r="C309" s="3"/>
      <c r="D309" s="3"/>
      <c r="E309" s="24">
        <v>64.0</v>
      </c>
      <c r="F309" s="3" t="s">
        <v>14</v>
      </c>
      <c r="G309" s="27">
        <v>1.69326206E8</v>
      </c>
      <c r="H309" s="27">
        <v>2.5475303E8</v>
      </c>
      <c r="I309" s="27">
        <v>3140022.0</v>
      </c>
      <c r="J309" s="27">
        <v>975.0</v>
      </c>
      <c r="K309" s="27">
        <v>487179.0</v>
      </c>
      <c r="L309" s="57">
        <f t="shared" si="14"/>
        <v>0.893375946</v>
      </c>
    </row>
    <row r="310">
      <c r="A310" s="8" t="s">
        <v>10</v>
      </c>
      <c r="B310" s="9"/>
      <c r="C310" s="3"/>
      <c r="D310" s="3"/>
      <c r="F310" s="9" t="s">
        <v>15</v>
      </c>
      <c r="G310" s="27">
        <v>1.78568047E8</v>
      </c>
      <c r="H310" s="27">
        <v>2.54215895E8</v>
      </c>
      <c r="I310" s="27">
        <v>2852600.0</v>
      </c>
      <c r="J310" s="27">
        <v>427.0</v>
      </c>
      <c r="K310" s="27">
        <v>537692.0</v>
      </c>
      <c r="L310" s="57">
        <f t="shared" si="14"/>
        <v>0.8094485319</v>
      </c>
    </row>
    <row r="311">
      <c r="A311" s="8" t="s">
        <v>13</v>
      </c>
      <c r="B311" s="9"/>
      <c r="C311" s="3"/>
      <c r="D311" s="3"/>
      <c r="F311" s="9" t="s">
        <v>16</v>
      </c>
      <c r="G311" s="27">
        <v>1.64376423E8</v>
      </c>
      <c r="H311" s="27">
        <v>2.15007414E8</v>
      </c>
      <c r="I311" s="27">
        <v>141471.0</v>
      </c>
      <c r="J311" s="27">
        <v>0.0</v>
      </c>
      <c r="K311" s="27">
        <v>1413002.0</v>
      </c>
      <c r="L311" s="57">
        <f t="shared" si="14"/>
        <v>0.3080207954</v>
      </c>
    </row>
    <row r="312">
      <c r="A312" s="12"/>
      <c r="B312" s="3"/>
      <c r="C312" s="9"/>
      <c r="D312" s="9"/>
      <c r="E312" s="9"/>
      <c r="F312" s="3"/>
      <c r="G312" s="9"/>
      <c r="H312" s="9"/>
      <c r="I312" s="9"/>
      <c r="J312" s="9"/>
      <c r="K312" s="9"/>
      <c r="L312" s="19"/>
    </row>
    <row r="313">
      <c r="A313" s="8"/>
      <c r="B313" s="3"/>
      <c r="C313" s="9"/>
      <c r="D313" s="9"/>
      <c r="E313" s="9"/>
      <c r="F313" s="9"/>
      <c r="G313" s="9"/>
      <c r="H313" s="9"/>
      <c r="I313" s="9"/>
      <c r="J313" s="9"/>
      <c r="K313" s="9"/>
      <c r="L313" s="19"/>
    </row>
    <row r="314">
      <c r="A314" s="8"/>
      <c r="B314" s="3"/>
      <c r="C314" s="9"/>
      <c r="D314" s="9"/>
      <c r="E314" s="9"/>
      <c r="F314" s="9"/>
      <c r="G314" s="9"/>
      <c r="H314" s="9"/>
      <c r="I314" s="9"/>
      <c r="J314" s="9"/>
      <c r="K314" s="9"/>
      <c r="L314" s="19"/>
    </row>
    <row r="315">
      <c r="A315" s="8"/>
      <c r="B315" s="3"/>
      <c r="C315" s="9"/>
      <c r="D315" s="9"/>
      <c r="E315" s="9"/>
      <c r="F315" s="3"/>
      <c r="G315" s="9"/>
      <c r="H315" s="9"/>
      <c r="I315" s="9"/>
      <c r="J315" s="9"/>
      <c r="K315" s="9"/>
      <c r="L315" s="19"/>
    </row>
    <row r="316">
      <c r="A316" s="8"/>
      <c r="B316" s="3"/>
      <c r="C316" s="9"/>
      <c r="D316" s="9"/>
      <c r="E316" s="9"/>
      <c r="F316" s="9"/>
      <c r="G316" s="9"/>
      <c r="H316" s="9"/>
      <c r="I316" s="9"/>
      <c r="J316" s="9"/>
      <c r="K316" s="9"/>
      <c r="L316" s="19"/>
    </row>
    <row r="317">
      <c r="A317" s="8"/>
      <c r="B317" s="3"/>
      <c r="C317" s="13"/>
      <c r="D317" s="13"/>
      <c r="E317" s="9"/>
      <c r="F317" s="9"/>
      <c r="G317" s="9"/>
      <c r="H317" s="9"/>
      <c r="I317" s="9"/>
      <c r="J317" s="9"/>
      <c r="K317" s="9"/>
      <c r="L317" s="19"/>
    </row>
    <row r="318">
      <c r="A318" s="8"/>
      <c r="B318" s="3"/>
      <c r="C318" s="13"/>
      <c r="D318" s="13"/>
      <c r="E318" s="13"/>
      <c r="F318" s="14"/>
      <c r="G318" s="9"/>
      <c r="H318" s="9"/>
      <c r="I318" s="9"/>
      <c r="J318" s="9"/>
      <c r="K318" s="9"/>
      <c r="L318" s="19"/>
    </row>
    <row r="319">
      <c r="A319" s="8"/>
      <c r="B319" s="3"/>
      <c r="C319" s="13"/>
      <c r="D319" s="13"/>
      <c r="E319" s="13"/>
      <c r="F319" s="14"/>
      <c r="G319" s="9"/>
      <c r="H319" s="9"/>
      <c r="I319" s="9"/>
      <c r="J319" s="9"/>
      <c r="K319" s="9"/>
      <c r="L319" s="19"/>
    </row>
    <row r="320">
      <c r="A320" s="8"/>
      <c r="B320" s="3"/>
      <c r="C320" s="9"/>
      <c r="D320" s="9"/>
      <c r="E320" s="13"/>
      <c r="F320" s="14"/>
      <c r="G320" s="9"/>
      <c r="H320" s="9"/>
      <c r="I320" s="9"/>
      <c r="J320" s="9"/>
      <c r="K320" s="9"/>
      <c r="L320" s="19"/>
    </row>
    <row r="321">
      <c r="A321" s="8"/>
      <c r="B321" s="3"/>
      <c r="C321" s="9"/>
      <c r="D321" s="9"/>
      <c r="E321" s="9"/>
      <c r="F321" s="3"/>
      <c r="G321" s="9"/>
      <c r="H321" s="9"/>
      <c r="I321" s="9"/>
      <c r="J321" s="9"/>
      <c r="K321" s="9"/>
      <c r="L321" s="19"/>
    </row>
    <row r="322">
      <c r="A322" s="8"/>
      <c r="B322" s="3"/>
      <c r="C322" s="9"/>
      <c r="D322" s="9"/>
      <c r="E322" s="9"/>
      <c r="F322" s="9"/>
      <c r="G322" s="9"/>
      <c r="H322" s="9"/>
      <c r="I322" s="9"/>
      <c r="J322" s="9"/>
      <c r="K322" s="9"/>
      <c r="L322" s="19"/>
    </row>
    <row r="323">
      <c r="A323" s="8"/>
      <c r="B323" s="3"/>
      <c r="C323" s="9"/>
      <c r="D323" s="9"/>
      <c r="E323" s="9"/>
      <c r="F323" s="9"/>
      <c r="G323" s="9"/>
      <c r="H323" s="9"/>
      <c r="I323" s="9"/>
      <c r="J323" s="9"/>
      <c r="K323" s="9"/>
      <c r="L323" s="19"/>
    </row>
    <row r="324">
      <c r="A324" s="8"/>
      <c r="B324" s="3"/>
      <c r="C324" s="9"/>
      <c r="D324" s="9"/>
      <c r="E324" s="9"/>
      <c r="F324" s="3"/>
      <c r="G324" s="9"/>
      <c r="H324" s="9"/>
      <c r="I324" s="9"/>
      <c r="J324" s="9"/>
      <c r="K324" s="9"/>
      <c r="L324" s="19"/>
    </row>
    <row r="325">
      <c r="A325" s="15"/>
      <c r="B325" s="3"/>
      <c r="C325" s="9"/>
      <c r="D325" s="9"/>
      <c r="E325" s="9"/>
      <c r="F325" s="9"/>
      <c r="G325" s="9"/>
      <c r="H325" s="9"/>
      <c r="I325" s="9"/>
      <c r="J325" s="9"/>
      <c r="K325" s="9"/>
      <c r="L325" s="19"/>
    </row>
    <row r="326">
      <c r="A326" s="3"/>
      <c r="B326" s="3"/>
      <c r="C326" s="3"/>
      <c r="D326" s="3"/>
      <c r="E326" s="9"/>
      <c r="F326" s="9"/>
      <c r="G326" s="9"/>
      <c r="H326" s="9"/>
      <c r="I326" s="9"/>
      <c r="J326" s="9"/>
      <c r="K326" s="9"/>
      <c r="L326" s="19"/>
    </row>
    <row r="327">
      <c r="A327" s="3"/>
      <c r="B327" s="3"/>
      <c r="C327" s="3"/>
      <c r="D327" s="3"/>
      <c r="E327" s="3"/>
      <c r="F327" s="3"/>
      <c r="G327" s="22"/>
      <c r="H327" s="3"/>
      <c r="I327" s="3"/>
      <c r="J327" s="3"/>
      <c r="K327" s="3"/>
      <c r="L327" s="23"/>
    </row>
    <row r="328">
      <c r="A328" s="8" t="s">
        <v>10</v>
      </c>
      <c r="B328" s="9"/>
      <c r="C328" s="3"/>
      <c r="D328" s="3"/>
      <c r="E328" s="3"/>
      <c r="F328" s="3"/>
      <c r="G328" s="22"/>
      <c r="H328" s="3"/>
      <c r="I328" s="3"/>
      <c r="J328" s="3"/>
      <c r="K328" s="3"/>
      <c r="L328" s="23"/>
    </row>
    <row r="329">
      <c r="A329" s="8" t="s">
        <v>13</v>
      </c>
      <c r="B329" s="9"/>
      <c r="C329" s="9"/>
      <c r="D329" s="9"/>
      <c r="E329" s="3"/>
      <c r="F329" s="9"/>
      <c r="G329" s="9"/>
      <c r="H329" s="9"/>
      <c r="I329" s="9"/>
      <c r="J329" s="9"/>
      <c r="K329" s="9"/>
      <c r="L329" s="19"/>
    </row>
    <row r="330">
      <c r="A330" s="12"/>
      <c r="B330" s="3"/>
      <c r="C330" s="9"/>
      <c r="D330" s="9"/>
      <c r="E330" s="9"/>
      <c r="F330" s="3"/>
      <c r="G330" s="9"/>
      <c r="H330" s="9"/>
      <c r="I330" s="9"/>
      <c r="J330" s="9"/>
      <c r="K330" s="9"/>
      <c r="L330" s="19"/>
    </row>
    <row r="331">
      <c r="A331" s="8"/>
      <c r="B331" s="3"/>
      <c r="C331" s="9"/>
      <c r="D331" s="9"/>
      <c r="E331" s="9"/>
      <c r="F331" s="9"/>
      <c r="G331" s="27"/>
      <c r="H331" s="27"/>
      <c r="I331" s="27"/>
      <c r="J331" s="9"/>
      <c r="K331" s="9"/>
      <c r="L331" s="19"/>
    </row>
    <row r="332">
      <c r="A332" s="8"/>
      <c r="B332" s="3"/>
      <c r="C332" s="9"/>
      <c r="D332" s="9"/>
      <c r="E332" s="9"/>
      <c r="F332" s="9"/>
      <c r="G332" s="27"/>
      <c r="H332" s="27"/>
      <c r="I332" s="27"/>
      <c r="J332" s="9"/>
      <c r="K332" s="9"/>
      <c r="L332" s="19"/>
    </row>
    <row r="333">
      <c r="A333" s="8"/>
      <c r="B333" s="3"/>
      <c r="C333" s="9"/>
      <c r="G333" s="22"/>
      <c r="H333" s="22"/>
      <c r="I333" s="22"/>
      <c r="J333" s="9"/>
      <c r="K333" s="9"/>
      <c r="L333" s="19"/>
    </row>
    <row r="334">
      <c r="A334" s="8"/>
      <c r="B334" s="3"/>
      <c r="C334" s="9"/>
      <c r="G334" s="22"/>
      <c r="H334" s="22"/>
      <c r="I334" s="22"/>
      <c r="J334" s="9"/>
      <c r="K334" s="9"/>
      <c r="L334" s="19"/>
    </row>
    <row r="335">
      <c r="A335" s="8"/>
      <c r="B335" s="3"/>
      <c r="C335" s="13"/>
      <c r="G335" s="22"/>
      <c r="H335" s="22"/>
      <c r="I335" s="22"/>
      <c r="J335" s="9"/>
      <c r="K335" s="9"/>
      <c r="L335" s="19"/>
    </row>
    <row r="336">
      <c r="A336" s="8"/>
      <c r="B336" s="3"/>
      <c r="C336" s="13"/>
      <c r="G336" s="22"/>
      <c r="H336" s="22"/>
      <c r="I336" s="22"/>
      <c r="J336" s="9"/>
      <c r="K336" s="9"/>
      <c r="L336" s="19"/>
    </row>
    <row r="337">
      <c r="A337" s="8"/>
      <c r="B337" s="3"/>
      <c r="C337" s="13"/>
      <c r="G337" s="22"/>
      <c r="H337" s="22"/>
      <c r="I337" s="22"/>
      <c r="J337" s="9"/>
      <c r="K337" s="9"/>
      <c r="L337" s="19"/>
    </row>
    <row r="338">
      <c r="A338" s="8"/>
      <c r="B338" s="3"/>
      <c r="C338" s="9"/>
      <c r="G338" s="22"/>
      <c r="H338" s="22"/>
      <c r="I338" s="22"/>
      <c r="J338" s="9"/>
      <c r="K338" s="9"/>
      <c r="L338" s="19"/>
    </row>
    <row r="339">
      <c r="A339" s="8"/>
      <c r="B339" s="3"/>
      <c r="C339" s="9"/>
      <c r="G339" s="22"/>
      <c r="H339" s="22"/>
      <c r="I339" s="22"/>
      <c r="J339" s="9"/>
      <c r="K339" s="9"/>
      <c r="L339" s="19"/>
    </row>
    <row r="340">
      <c r="A340" s="8"/>
      <c r="B340" s="3"/>
      <c r="C340" s="9"/>
      <c r="G340" s="22"/>
      <c r="H340" s="22"/>
      <c r="I340" s="22"/>
      <c r="J340" s="9"/>
      <c r="K340" s="9"/>
      <c r="L340" s="19"/>
    </row>
    <row r="341">
      <c r="A341" s="8"/>
      <c r="B341" s="3"/>
      <c r="C341" s="9"/>
      <c r="G341" s="22"/>
      <c r="H341" s="22"/>
      <c r="I341" s="22"/>
      <c r="J341" s="9"/>
      <c r="K341" s="9"/>
      <c r="L341" s="19"/>
    </row>
    <row r="342">
      <c r="A342" s="8"/>
      <c r="B342" s="3"/>
      <c r="C342" s="9"/>
      <c r="G342" s="22"/>
      <c r="H342" s="22"/>
      <c r="I342" s="22"/>
      <c r="J342" s="9"/>
      <c r="K342" s="9"/>
      <c r="L342" s="19"/>
    </row>
    <row r="343">
      <c r="A343" s="15"/>
      <c r="B343" s="3"/>
      <c r="C343" s="9"/>
      <c r="G343" s="22"/>
      <c r="H343" s="22"/>
      <c r="I343" s="22"/>
      <c r="J343" s="9"/>
      <c r="K343" s="9"/>
      <c r="L343" s="19"/>
    </row>
    <row r="344">
      <c r="G344" s="22"/>
      <c r="H344" s="22"/>
      <c r="I344" s="22"/>
      <c r="J344" s="9"/>
      <c r="K344" s="9"/>
      <c r="L344" s="19"/>
    </row>
    <row r="345">
      <c r="G345" s="22"/>
      <c r="H345" s="22"/>
      <c r="I345" s="22"/>
      <c r="J345" s="22"/>
      <c r="K345" s="22"/>
    </row>
    <row r="346">
      <c r="G346" s="22"/>
      <c r="H346" s="22"/>
      <c r="I346" s="22"/>
      <c r="J346" s="22"/>
      <c r="K346" s="22"/>
    </row>
    <row r="347">
      <c r="G347" s="22"/>
      <c r="H347" s="22"/>
      <c r="I347" s="22"/>
      <c r="J347" s="22"/>
      <c r="K347" s="22"/>
    </row>
    <row r="348">
      <c r="F348" s="61"/>
      <c r="G348" s="22"/>
      <c r="H348" s="22"/>
      <c r="I348" s="22"/>
      <c r="J348" s="22"/>
      <c r="K348" s="22"/>
    </row>
    <row r="349">
      <c r="F349" s="61"/>
      <c r="G349" s="22"/>
      <c r="H349" s="22"/>
      <c r="I349" s="22"/>
      <c r="J349" s="22"/>
      <c r="K349" s="22"/>
    </row>
    <row r="350">
      <c r="F350" s="61"/>
      <c r="G350" s="22"/>
      <c r="H350" s="22"/>
      <c r="I350" s="22"/>
      <c r="J350" s="22"/>
      <c r="K350" s="22"/>
    </row>
    <row r="351">
      <c r="F351" s="61"/>
      <c r="G351" s="22"/>
      <c r="H351" s="22"/>
      <c r="I351" s="22"/>
      <c r="J351" s="22"/>
      <c r="K351" s="22"/>
    </row>
    <row r="352">
      <c r="F352" s="61"/>
      <c r="G352" s="22"/>
      <c r="H352" s="22"/>
      <c r="I352" s="22"/>
      <c r="J352" s="22"/>
      <c r="K352" s="22"/>
    </row>
    <row r="353">
      <c r="F353" s="61"/>
      <c r="G353" s="22"/>
      <c r="H353" s="22"/>
      <c r="I353" s="22"/>
      <c r="J353" s="22"/>
      <c r="K353" s="22"/>
    </row>
    <row r="354">
      <c r="F354" s="61"/>
      <c r="G354" s="22"/>
      <c r="H354" s="22"/>
      <c r="I354" s="22"/>
      <c r="J354" s="22"/>
      <c r="K354" s="22"/>
    </row>
    <row r="355">
      <c r="F355" s="61"/>
      <c r="G355" s="22"/>
      <c r="H355" s="22"/>
      <c r="I355" s="22"/>
      <c r="J355" s="22"/>
      <c r="K355" s="22"/>
    </row>
    <row r="356">
      <c r="F356" s="61"/>
      <c r="G356" s="22"/>
      <c r="H356" s="22"/>
      <c r="I356" s="22"/>
      <c r="J356" s="22"/>
      <c r="K356" s="22"/>
    </row>
    <row r="357">
      <c r="F357" s="61"/>
      <c r="G357" s="22"/>
      <c r="H357" s="22"/>
      <c r="I357" s="22"/>
      <c r="J357" s="22"/>
      <c r="K357" s="22"/>
    </row>
    <row r="358">
      <c r="F358" s="61"/>
      <c r="G358" s="22"/>
      <c r="H358" s="22"/>
      <c r="I358" s="22"/>
      <c r="J358" s="22"/>
      <c r="K358" s="22"/>
    </row>
    <row r="359">
      <c r="F359" s="61"/>
      <c r="G359" s="22"/>
      <c r="H359" s="22"/>
      <c r="I359" s="22"/>
      <c r="J359" s="22"/>
      <c r="K359" s="22"/>
    </row>
    <row r="360">
      <c r="F360" s="61"/>
      <c r="G360" s="22"/>
      <c r="H360" s="22"/>
      <c r="I360" s="22"/>
      <c r="J360" s="22"/>
      <c r="K360" s="22"/>
    </row>
    <row r="361">
      <c r="F361" s="61"/>
      <c r="G361" s="22"/>
      <c r="H361" s="22"/>
      <c r="I361" s="22"/>
      <c r="J361" s="22"/>
      <c r="K361" s="22"/>
    </row>
    <row r="362">
      <c r="E362" s="3"/>
      <c r="F362" s="9"/>
      <c r="G362" s="9"/>
      <c r="H362" s="9"/>
      <c r="I362" s="9"/>
      <c r="J362" s="9"/>
      <c r="K362" s="9"/>
      <c r="L362" s="19"/>
    </row>
    <row r="363">
      <c r="E363" s="9"/>
      <c r="F363" s="3"/>
      <c r="G363" s="9"/>
      <c r="H363" s="9"/>
      <c r="I363" s="9"/>
      <c r="J363" s="9"/>
      <c r="K363" s="9"/>
      <c r="L363" s="19"/>
    </row>
    <row r="364">
      <c r="E364" s="9"/>
      <c r="F364" s="9"/>
      <c r="G364" s="9"/>
      <c r="H364" s="9"/>
      <c r="I364" s="9"/>
      <c r="J364" s="9"/>
      <c r="K364" s="9"/>
      <c r="L364" s="19"/>
    </row>
    <row r="365">
      <c r="E365" s="9"/>
      <c r="F365" s="9"/>
      <c r="G365" s="9"/>
      <c r="H365" s="9"/>
      <c r="I365" s="9"/>
      <c r="J365" s="9"/>
      <c r="K365" s="9"/>
      <c r="L365" s="19"/>
    </row>
    <row r="366">
      <c r="E366" s="9"/>
      <c r="F366" s="3"/>
      <c r="G366" s="9"/>
      <c r="H366" s="9"/>
      <c r="I366" s="9"/>
      <c r="J366" s="9"/>
      <c r="K366" s="9"/>
      <c r="L366" s="19"/>
    </row>
    <row r="367">
      <c r="E367" s="9"/>
      <c r="F367" s="9"/>
      <c r="G367" s="9"/>
      <c r="H367" s="9"/>
      <c r="I367" s="9"/>
      <c r="J367" s="9"/>
      <c r="K367" s="9"/>
      <c r="L367" s="19"/>
    </row>
    <row r="368">
      <c r="E368" s="9"/>
      <c r="F368" s="9"/>
      <c r="G368" s="9"/>
      <c r="H368" s="9"/>
      <c r="I368" s="9"/>
      <c r="J368" s="9"/>
      <c r="K368" s="9"/>
      <c r="L368" s="19"/>
    </row>
    <row r="369">
      <c r="E369" s="13"/>
      <c r="F369" s="14"/>
      <c r="G369" s="9"/>
      <c r="H369" s="9"/>
      <c r="I369" s="9"/>
      <c r="J369" s="9"/>
      <c r="K369" s="9"/>
      <c r="L369" s="19"/>
    </row>
    <row r="370">
      <c r="E370" s="13"/>
      <c r="F370" s="14"/>
      <c r="G370" s="9"/>
      <c r="H370" s="9"/>
      <c r="I370" s="9"/>
      <c r="J370" s="9"/>
      <c r="K370" s="9"/>
      <c r="L370" s="19"/>
    </row>
    <row r="371">
      <c r="E371" s="13"/>
      <c r="F371" s="14"/>
      <c r="G371" s="9"/>
      <c r="H371" s="9"/>
      <c r="I371" s="9"/>
      <c r="J371" s="9"/>
      <c r="K371" s="9"/>
      <c r="L371" s="19"/>
    </row>
    <row r="372">
      <c r="E372" s="9"/>
      <c r="F372" s="3"/>
      <c r="G372" s="9"/>
      <c r="H372" s="9"/>
      <c r="I372" s="9"/>
      <c r="J372" s="9"/>
      <c r="K372" s="9"/>
      <c r="L372" s="19"/>
    </row>
    <row r="373">
      <c r="E373" s="9"/>
      <c r="F373" s="9"/>
      <c r="G373" s="9"/>
      <c r="H373" s="9"/>
      <c r="I373" s="9"/>
      <c r="J373" s="9"/>
      <c r="K373" s="9"/>
      <c r="L373" s="19"/>
    </row>
    <row r="374">
      <c r="E374" s="9"/>
      <c r="F374" s="9"/>
      <c r="G374" s="9"/>
      <c r="H374" s="9"/>
      <c r="I374" s="9"/>
      <c r="J374" s="9"/>
      <c r="K374" s="9"/>
      <c r="L374" s="19"/>
    </row>
    <row r="375">
      <c r="E375" s="9"/>
      <c r="F375" s="3"/>
      <c r="G375" s="9"/>
      <c r="H375" s="9"/>
      <c r="I375" s="9"/>
      <c r="J375" s="9"/>
      <c r="K375" s="9"/>
      <c r="L375" s="19"/>
    </row>
    <row r="376">
      <c r="E376" s="9"/>
      <c r="F376" s="9"/>
      <c r="G376" s="9"/>
      <c r="H376" s="9"/>
      <c r="I376" s="9"/>
      <c r="J376" s="9"/>
      <c r="K376" s="9"/>
      <c r="L376" s="19"/>
    </row>
    <row r="377">
      <c r="E377" s="9"/>
      <c r="F377" s="9"/>
      <c r="G377" s="9"/>
      <c r="H377" s="9"/>
      <c r="I377" s="9"/>
      <c r="J377" s="9"/>
      <c r="K377" s="9"/>
      <c r="L377" s="19"/>
    </row>
    <row r="378">
      <c r="F378" s="61"/>
      <c r="G378" s="22"/>
      <c r="H378" s="22"/>
      <c r="I378" s="22"/>
      <c r="J378" s="22"/>
      <c r="K378" s="22"/>
    </row>
    <row r="379">
      <c r="F379" s="61"/>
      <c r="G379" s="22"/>
      <c r="H379" s="22"/>
      <c r="I379" s="22"/>
      <c r="J379" s="22"/>
      <c r="K379" s="22"/>
    </row>
    <row r="380">
      <c r="F380" s="61"/>
      <c r="G380" s="22"/>
      <c r="H380" s="22"/>
      <c r="I380" s="22"/>
      <c r="J380" s="22"/>
      <c r="K380" s="22"/>
    </row>
    <row r="381">
      <c r="F381" s="61"/>
      <c r="G381" s="22"/>
      <c r="H381" s="22"/>
      <c r="I381" s="22"/>
      <c r="J381" s="22"/>
      <c r="K381" s="22"/>
    </row>
    <row r="382">
      <c r="F382" s="61"/>
      <c r="G382" s="22"/>
      <c r="H382" s="22"/>
      <c r="I382" s="22"/>
      <c r="J382" s="22"/>
      <c r="K382" s="22"/>
    </row>
    <row r="383">
      <c r="F383" s="61"/>
      <c r="G383" s="22"/>
      <c r="H383" s="22"/>
      <c r="I383" s="22"/>
      <c r="J383" s="22"/>
      <c r="K383" s="22"/>
    </row>
    <row r="384">
      <c r="F384" s="61"/>
      <c r="G384" s="22"/>
      <c r="H384" s="22"/>
      <c r="I384" s="22"/>
      <c r="J384" s="22"/>
      <c r="K384" s="22"/>
    </row>
    <row r="385">
      <c r="F385" s="61"/>
      <c r="G385" s="22"/>
      <c r="H385" s="22"/>
      <c r="I385" s="22"/>
      <c r="J385" s="22"/>
      <c r="K385" s="22"/>
    </row>
    <row r="386">
      <c r="F386" s="61"/>
      <c r="G386" s="22"/>
      <c r="H386" s="22"/>
      <c r="I386" s="22"/>
      <c r="J386" s="22"/>
      <c r="K386" s="22"/>
    </row>
    <row r="387">
      <c r="F387" s="61"/>
      <c r="G387" s="22"/>
      <c r="H387" s="22"/>
      <c r="I387" s="22"/>
      <c r="J387" s="22"/>
      <c r="K387" s="22"/>
    </row>
    <row r="388">
      <c r="F388" s="61"/>
      <c r="G388" s="22"/>
      <c r="H388" s="22"/>
      <c r="I388" s="22"/>
      <c r="J388" s="22"/>
      <c r="K388" s="22"/>
    </row>
    <row r="389">
      <c r="F389" s="61"/>
      <c r="G389" s="22"/>
      <c r="H389" s="22"/>
      <c r="I389" s="22"/>
      <c r="J389" s="22"/>
      <c r="K389" s="22"/>
    </row>
    <row r="390">
      <c r="F390" s="61"/>
      <c r="G390" s="22"/>
      <c r="H390" s="22"/>
      <c r="I390" s="22"/>
      <c r="J390" s="22"/>
      <c r="K390" s="22"/>
    </row>
    <row r="391">
      <c r="F391" s="61"/>
      <c r="G391" s="22"/>
      <c r="H391" s="22"/>
      <c r="I391" s="22"/>
      <c r="J391" s="22"/>
      <c r="K391" s="22"/>
    </row>
    <row r="392">
      <c r="F392" s="61"/>
      <c r="G392" s="22"/>
      <c r="H392" s="22"/>
      <c r="I392" s="22"/>
      <c r="J392" s="22"/>
      <c r="K392" s="22"/>
    </row>
    <row r="393">
      <c r="F393" s="61"/>
      <c r="G393" s="22"/>
      <c r="H393" s="22"/>
      <c r="I393" s="22"/>
      <c r="J393" s="22"/>
      <c r="K393" s="22"/>
    </row>
    <row r="394">
      <c r="F394" s="61"/>
      <c r="G394" s="22"/>
      <c r="H394" s="22"/>
      <c r="I394" s="22"/>
      <c r="J394" s="22"/>
      <c r="K394" s="22"/>
    </row>
    <row r="395">
      <c r="F395" s="61"/>
      <c r="G395" s="22"/>
      <c r="H395" s="22"/>
      <c r="I395" s="22"/>
      <c r="J395" s="22"/>
      <c r="K395" s="22"/>
    </row>
    <row r="396">
      <c r="F396" s="61"/>
      <c r="G396" s="22"/>
      <c r="H396" s="22"/>
      <c r="I396" s="22"/>
      <c r="J396" s="22"/>
      <c r="K396" s="22"/>
    </row>
    <row r="397">
      <c r="F397" s="61"/>
      <c r="G397" s="22"/>
      <c r="H397" s="22"/>
      <c r="I397" s="22"/>
      <c r="J397" s="22"/>
      <c r="K397" s="22"/>
    </row>
    <row r="398">
      <c r="F398" s="61"/>
      <c r="G398" s="22"/>
      <c r="H398" s="22"/>
      <c r="I398" s="22"/>
      <c r="J398" s="22"/>
      <c r="K398" s="22"/>
    </row>
    <row r="399">
      <c r="F399" s="61"/>
      <c r="G399" s="22"/>
      <c r="H399" s="22"/>
      <c r="I399" s="22"/>
      <c r="J399" s="22"/>
      <c r="K399" s="22"/>
    </row>
    <row r="400">
      <c r="F400" s="61"/>
      <c r="G400" s="22"/>
      <c r="H400" s="22"/>
      <c r="I400" s="22"/>
      <c r="J400" s="22"/>
      <c r="K400" s="22"/>
    </row>
    <row r="401">
      <c r="F401" s="61"/>
      <c r="G401" s="22"/>
      <c r="H401" s="22"/>
      <c r="I401" s="22"/>
      <c r="J401" s="22"/>
      <c r="K401" s="22"/>
    </row>
    <row r="402">
      <c r="F402" s="61"/>
      <c r="G402" s="22"/>
      <c r="H402" s="22"/>
      <c r="I402" s="22"/>
      <c r="J402" s="22"/>
      <c r="K402" s="22"/>
    </row>
    <row r="403">
      <c r="F403" s="61"/>
      <c r="G403" s="22"/>
      <c r="H403" s="22"/>
      <c r="I403" s="22"/>
      <c r="J403" s="22"/>
      <c r="K403" s="22"/>
    </row>
    <row r="404">
      <c r="F404" s="61"/>
      <c r="G404" s="22"/>
      <c r="H404" s="22"/>
      <c r="I404" s="22"/>
      <c r="J404" s="22"/>
      <c r="K404" s="22"/>
    </row>
    <row r="405">
      <c r="F405" s="61"/>
      <c r="G405" s="22"/>
      <c r="H405" s="22"/>
      <c r="I405" s="22"/>
      <c r="J405" s="22"/>
      <c r="K405" s="22"/>
    </row>
    <row r="406">
      <c r="F406" s="61"/>
      <c r="G406" s="22"/>
      <c r="H406" s="22"/>
      <c r="I406" s="22"/>
      <c r="J406" s="22"/>
      <c r="K406" s="22"/>
    </row>
    <row r="407">
      <c r="F407" s="61"/>
      <c r="G407" s="22"/>
      <c r="H407" s="22"/>
      <c r="I407" s="22"/>
      <c r="J407" s="22"/>
      <c r="K407" s="22"/>
    </row>
    <row r="408">
      <c r="F408" s="61"/>
      <c r="G408" s="22"/>
      <c r="H408" s="22"/>
      <c r="I408" s="22"/>
      <c r="J408" s="22"/>
      <c r="K408" s="22"/>
    </row>
    <row r="409">
      <c r="F409" s="61"/>
      <c r="G409" s="22"/>
      <c r="H409" s="22"/>
      <c r="I409" s="22"/>
      <c r="J409" s="22"/>
      <c r="K409" s="22"/>
    </row>
    <row r="410">
      <c r="F410" s="61"/>
      <c r="G410" s="22"/>
      <c r="H410" s="22"/>
      <c r="I410" s="22"/>
      <c r="J410" s="22"/>
      <c r="K410" s="22"/>
    </row>
    <row r="411">
      <c r="F411" s="61"/>
      <c r="G411" s="22"/>
      <c r="H411" s="22"/>
      <c r="I411" s="22"/>
      <c r="J411" s="22"/>
      <c r="K411" s="22"/>
    </row>
    <row r="412">
      <c r="F412" s="61"/>
      <c r="G412" s="22"/>
      <c r="H412" s="22"/>
      <c r="I412" s="22"/>
      <c r="J412" s="22"/>
      <c r="K412" s="22"/>
    </row>
    <row r="413">
      <c r="F413" s="61"/>
      <c r="G413" s="22"/>
      <c r="H413" s="22"/>
      <c r="I413" s="22"/>
      <c r="J413" s="22"/>
      <c r="K413" s="22"/>
    </row>
    <row r="414">
      <c r="F414" s="61"/>
      <c r="G414" s="22"/>
      <c r="H414" s="22"/>
      <c r="I414" s="22"/>
      <c r="J414" s="22"/>
      <c r="K414" s="22"/>
    </row>
    <row r="415">
      <c r="F415" s="61"/>
      <c r="G415" s="22"/>
      <c r="H415" s="22"/>
      <c r="I415" s="22"/>
      <c r="J415" s="22"/>
      <c r="K415" s="22"/>
    </row>
    <row r="416">
      <c r="F416" s="61"/>
      <c r="G416" s="22"/>
      <c r="H416" s="22"/>
      <c r="I416" s="22"/>
      <c r="J416" s="22"/>
      <c r="K416" s="22"/>
    </row>
    <row r="417">
      <c r="F417" s="61"/>
      <c r="G417" s="22"/>
      <c r="H417" s="22"/>
      <c r="I417" s="22"/>
      <c r="J417" s="22"/>
      <c r="K417" s="22"/>
    </row>
    <row r="418">
      <c r="F418" s="61"/>
      <c r="G418" s="22"/>
      <c r="H418" s="22"/>
      <c r="I418" s="22"/>
      <c r="J418" s="22"/>
      <c r="K418" s="22"/>
    </row>
    <row r="419">
      <c r="F419" s="61"/>
      <c r="G419" s="22"/>
      <c r="H419" s="22"/>
      <c r="I419" s="22"/>
      <c r="J419" s="22"/>
      <c r="K419" s="22"/>
    </row>
    <row r="420">
      <c r="F420" s="61"/>
      <c r="G420" s="22"/>
      <c r="H420" s="22"/>
      <c r="I420" s="22"/>
      <c r="J420" s="22"/>
      <c r="K420" s="22"/>
    </row>
    <row r="421">
      <c r="F421" s="61"/>
      <c r="G421" s="22"/>
      <c r="H421" s="22"/>
      <c r="I421" s="22"/>
      <c r="J421" s="22"/>
      <c r="K421" s="22"/>
    </row>
    <row r="422">
      <c r="F422" s="61"/>
      <c r="G422" s="22"/>
      <c r="H422" s="22"/>
      <c r="I422" s="22"/>
      <c r="J422" s="22"/>
      <c r="K422" s="22"/>
    </row>
    <row r="423">
      <c r="F423" s="61"/>
      <c r="G423" s="22"/>
      <c r="H423" s="22"/>
      <c r="I423" s="22"/>
      <c r="J423" s="22"/>
      <c r="K423" s="22"/>
    </row>
    <row r="424">
      <c r="F424" s="61"/>
      <c r="G424" s="22"/>
      <c r="H424" s="22"/>
      <c r="I424" s="22"/>
      <c r="J424" s="22"/>
      <c r="K424" s="22"/>
    </row>
    <row r="425">
      <c r="F425" s="61"/>
      <c r="G425" s="22"/>
      <c r="H425" s="22"/>
      <c r="I425" s="22"/>
      <c r="J425" s="22"/>
      <c r="K425" s="22"/>
    </row>
    <row r="426">
      <c r="F426" s="61"/>
      <c r="G426" s="22"/>
      <c r="H426" s="22"/>
      <c r="I426" s="22"/>
      <c r="J426" s="22"/>
      <c r="K426" s="22"/>
    </row>
    <row r="427">
      <c r="F427" s="61"/>
      <c r="G427" s="22"/>
      <c r="H427" s="22"/>
      <c r="I427" s="22"/>
      <c r="J427" s="22"/>
      <c r="K427" s="22"/>
    </row>
    <row r="428">
      <c r="F428" s="61"/>
      <c r="G428" s="22"/>
      <c r="H428" s="22"/>
      <c r="I428" s="22"/>
      <c r="J428" s="22"/>
      <c r="K428" s="22"/>
    </row>
    <row r="429">
      <c r="F429" s="61"/>
      <c r="G429" s="22"/>
      <c r="H429" s="22"/>
      <c r="I429" s="22"/>
      <c r="J429" s="22"/>
      <c r="K429" s="22"/>
    </row>
    <row r="430">
      <c r="F430" s="61"/>
      <c r="G430" s="22"/>
      <c r="H430" s="22"/>
      <c r="I430" s="22"/>
      <c r="J430" s="22"/>
      <c r="K430" s="22"/>
    </row>
    <row r="431">
      <c r="F431" s="61"/>
      <c r="G431" s="22"/>
      <c r="H431" s="22"/>
      <c r="I431" s="22"/>
      <c r="J431" s="22"/>
      <c r="K431" s="22"/>
    </row>
    <row r="432">
      <c r="F432" s="61"/>
      <c r="G432" s="22"/>
      <c r="H432" s="22"/>
      <c r="I432" s="22"/>
      <c r="J432" s="22"/>
      <c r="K432" s="22"/>
    </row>
    <row r="433">
      <c r="F433" s="61"/>
      <c r="G433" s="22"/>
      <c r="H433" s="22"/>
      <c r="I433" s="22"/>
      <c r="J433" s="22"/>
      <c r="K433" s="22"/>
    </row>
    <row r="434">
      <c r="F434" s="61"/>
      <c r="G434" s="22"/>
      <c r="H434" s="22"/>
      <c r="I434" s="22"/>
      <c r="J434" s="22"/>
      <c r="K434" s="22"/>
    </row>
    <row r="435">
      <c r="F435" s="61"/>
      <c r="G435" s="22"/>
      <c r="H435" s="22"/>
      <c r="I435" s="22"/>
      <c r="J435" s="22"/>
      <c r="K435" s="22"/>
    </row>
    <row r="436">
      <c r="F436" s="61"/>
      <c r="G436" s="22"/>
      <c r="H436" s="22"/>
      <c r="I436" s="22"/>
      <c r="J436" s="22"/>
      <c r="K436" s="22"/>
    </row>
    <row r="437">
      <c r="F437" s="61"/>
      <c r="G437" s="22"/>
      <c r="H437" s="22"/>
      <c r="I437" s="22"/>
      <c r="J437" s="22"/>
      <c r="K437" s="22"/>
    </row>
    <row r="438">
      <c r="F438" s="61"/>
      <c r="G438" s="22"/>
      <c r="H438" s="22"/>
      <c r="I438" s="22"/>
      <c r="J438" s="22"/>
      <c r="K438" s="22"/>
    </row>
    <row r="439">
      <c r="F439" s="61"/>
      <c r="G439" s="22"/>
      <c r="H439" s="22"/>
      <c r="I439" s="22"/>
      <c r="J439" s="22"/>
      <c r="K439" s="22"/>
    </row>
    <row r="440">
      <c r="F440" s="61"/>
      <c r="G440" s="22"/>
      <c r="H440" s="22"/>
      <c r="I440" s="22"/>
      <c r="J440" s="22"/>
      <c r="K440" s="22"/>
    </row>
    <row r="441">
      <c r="F441" s="61"/>
      <c r="G441" s="22"/>
      <c r="H441" s="22"/>
      <c r="I441" s="22"/>
      <c r="J441" s="22"/>
      <c r="K441" s="22"/>
    </row>
    <row r="442">
      <c r="F442" s="61"/>
      <c r="G442" s="22"/>
      <c r="H442" s="22"/>
      <c r="I442" s="22"/>
      <c r="J442" s="22"/>
      <c r="K442" s="22"/>
    </row>
    <row r="443">
      <c r="F443" s="61"/>
      <c r="G443" s="22"/>
      <c r="H443" s="22"/>
      <c r="I443" s="22"/>
      <c r="J443" s="22"/>
      <c r="K443" s="22"/>
    </row>
    <row r="444">
      <c r="F444" s="61"/>
      <c r="G444" s="22"/>
      <c r="H444" s="22"/>
      <c r="I444" s="22"/>
      <c r="J444" s="22"/>
      <c r="K444" s="22"/>
    </row>
    <row r="445">
      <c r="F445" s="61"/>
      <c r="G445" s="22"/>
      <c r="H445" s="22"/>
      <c r="I445" s="22"/>
      <c r="J445" s="22"/>
      <c r="K445" s="22"/>
    </row>
    <row r="446">
      <c r="F446" s="61"/>
      <c r="G446" s="22"/>
      <c r="H446" s="22"/>
      <c r="I446" s="22"/>
      <c r="J446" s="22"/>
      <c r="K446" s="22"/>
    </row>
    <row r="447">
      <c r="F447" s="61"/>
      <c r="G447" s="22"/>
      <c r="H447" s="22"/>
      <c r="I447" s="22"/>
      <c r="J447" s="22"/>
      <c r="K447" s="22"/>
    </row>
    <row r="448">
      <c r="F448" s="61"/>
      <c r="G448" s="22"/>
      <c r="H448" s="22"/>
      <c r="I448" s="22"/>
      <c r="J448" s="22"/>
      <c r="K448" s="22"/>
    </row>
    <row r="449">
      <c r="F449" s="61"/>
      <c r="G449" s="22"/>
      <c r="H449" s="22"/>
      <c r="I449" s="22"/>
      <c r="J449" s="22"/>
      <c r="K449" s="22"/>
    </row>
    <row r="450">
      <c r="F450" s="61"/>
      <c r="G450" s="22"/>
      <c r="H450" s="22"/>
      <c r="I450" s="22"/>
      <c r="J450" s="22"/>
      <c r="K450" s="22"/>
    </row>
    <row r="451">
      <c r="F451" s="61"/>
      <c r="G451" s="22"/>
      <c r="H451" s="22"/>
      <c r="I451" s="22"/>
      <c r="J451" s="22"/>
      <c r="K451" s="22"/>
    </row>
    <row r="452">
      <c r="F452" s="61"/>
      <c r="G452" s="22"/>
      <c r="H452" s="22"/>
      <c r="I452" s="22"/>
      <c r="J452" s="22"/>
      <c r="K452" s="22"/>
    </row>
    <row r="453">
      <c r="F453" s="61"/>
      <c r="G453" s="22"/>
      <c r="H453" s="22"/>
      <c r="I453" s="22"/>
      <c r="J453" s="22"/>
      <c r="K453" s="22"/>
    </row>
    <row r="454">
      <c r="F454" s="61"/>
      <c r="G454" s="22"/>
      <c r="H454" s="22"/>
      <c r="I454" s="22"/>
      <c r="J454" s="22"/>
      <c r="K454" s="22"/>
    </row>
    <row r="455">
      <c r="F455" s="61"/>
      <c r="G455" s="22"/>
      <c r="H455" s="22"/>
      <c r="I455" s="22"/>
      <c r="J455" s="22"/>
      <c r="K455" s="22"/>
    </row>
    <row r="456">
      <c r="F456" s="61"/>
      <c r="G456" s="22"/>
      <c r="H456" s="22"/>
      <c r="I456" s="22"/>
      <c r="J456" s="22"/>
      <c r="K456" s="22"/>
    </row>
    <row r="457">
      <c r="F457" s="61"/>
      <c r="G457" s="22"/>
      <c r="H457" s="22"/>
      <c r="I457" s="22"/>
      <c r="J457" s="22"/>
      <c r="K457" s="22"/>
    </row>
    <row r="458">
      <c r="F458" s="61"/>
      <c r="G458" s="22"/>
      <c r="H458" s="22"/>
      <c r="I458" s="22"/>
      <c r="J458" s="22"/>
      <c r="K458" s="22"/>
    </row>
    <row r="459">
      <c r="F459" s="61"/>
      <c r="G459" s="22"/>
      <c r="H459" s="22"/>
      <c r="I459" s="22"/>
      <c r="J459" s="22"/>
      <c r="K459" s="22"/>
    </row>
    <row r="460">
      <c r="F460" s="61"/>
      <c r="G460" s="22"/>
      <c r="H460" s="22"/>
      <c r="I460" s="22"/>
      <c r="J460" s="22"/>
      <c r="K460" s="22"/>
    </row>
    <row r="461">
      <c r="F461" s="61"/>
      <c r="G461" s="22"/>
      <c r="H461" s="22"/>
      <c r="I461" s="22"/>
      <c r="J461" s="22"/>
      <c r="K461" s="22"/>
    </row>
    <row r="462">
      <c r="F462" s="61"/>
      <c r="G462" s="22"/>
      <c r="H462" s="22"/>
      <c r="I462" s="22"/>
      <c r="J462" s="22"/>
      <c r="K462" s="22"/>
    </row>
    <row r="463">
      <c r="F463" s="61"/>
      <c r="G463" s="22"/>
      <c r="H463" s="22"/>
      <c r="I463" s="22"/>
      <c r="J463" s="22"/>
      <c r="K463" s="22"/>
    </row>
    <row r="464">
      <c r="F464" s="61"/>
      <c r="G464" s="22"/>
      <c r="H464" s="22"/>
      <c r="I464" s="22"/>
      <c r="J464" s="22"/>
      <c r="K464" s="22"/>
    </row>
    <row r="465">
      <c r="F465" s="61"/>
      <c r="G465" s="22"/>
      <c r="H465" s="22"/>
      <c r="I465" s="22"/>
      <c r="J465" s="22"/>
      <c r="K465" s="22"/>
    </row>
    <row r="466">
      <c r="F466" s="61"/>
      <c r="G466" s="22"/>
      <c r="H466" s="22"/>
      <c r="I466" s="22"/>
      <c r="J466" s="22"/>
      <c r="K466" s="22"/>
    </row>
    <row r="467">
      <c r="F467" s="61"/>
      <c r="G467" s="22"/>
      <c r="H467" s="22"/>
      <c r="I467" s="22"/>
      <c r="J467" s="22"/>
      <c r="K467" s="22"/>
    </row>
    <row r="468">
      <c r="F468" s="61"/>
      <c r="G468" s="22"/>
      <c r="H468" s="22"/>
      <c r="I468" s="22"/>
      <c r="J468" s="22"/>
      <c r="K468" s="22"/>
    </row>
    <row r="469">
      <c r="F469" s="61"/>
      <c r="G469" s="22"/>
      <c r="H469" s="22"/>
      <c r="I469" s="22"/>
      <c r="J469" s="22"/>
      <c r="K469" s="22"/>
    </row>
    <row r="470">
      <c r="F470" s="61"/>
      <c r="G470" s="22"/>
      <c r="H470" s="22"/>
      <c r="I470" s="22"/>
      <c r="J470" s="22"/>
      <c r="K470" s="22"/>
    </row>
    <row r="471">
      <c r="F471" s="61"/>
      <c r="G471" s="22"/>
      <c r="H471" s="22"/>
      <c r="I471" s="22"/>
      <c r="J471" s="22"/>
      <c r="K471" s="22"/>
    </row>
    <row r="472">
      <c r="F472" s="61"/>
      <c r="G472" s="22"/>
      <c r="H472" s="22"/>
      <c r="I472" s="22"/>
      <c r="J472" s="22"/>
      <c r="K472" s="22"/>
    </row>
    <row r="473">
      <c r="F473" s="61"/>
      <c r="G473" s="22"/>
      <c r="H473" s="22"/>
      <c r="I473" s="22"/>
      <c r="J473" s="22"/>
      <c r="K473" s="22"/>
    </row>
    <row r="474">
      <c r="F474" s="61"/>
      <c r="G474" s="22"/>
      <c r="H474" s="22"/>
      <c r="I474" s="22"/>
      <c r="J474" s="22"/>
      <c r="K474" s="22"/>
    </row>
    <row r="475">
      <c r="F475" s="61"/>
      <c r="G475" s="22"/>
      <c r="H475" s="22"/>
      <c r="I475" s="22"/>
      <c r="J475" s="22"/>
      <c r="K475" s="22"/>
    </row>
    <row r="476">
      <c r="F476" s="61"/>
      <c r="G476" s="22"/>
      <c r="H476" s="22"/>
      <c r="I476" s="22"/>
      <c r="J476" s="22"/>
      <c r="K476" s="22"/>
    </row>
    <row r="477">
      <c r="F477" s="61"/>
      <c r="G477" s="22"/>
      <c r="H477" s="22"/>
      <c r="I477" s="22"/>
      <c r="J477" s="22"/>
      <c r="K477" s="22"/>
    </row>
    <row r="478">
      <c r="F478" s="61"/>
      <c r="G478" s="22"/>
      <c r="H478" s="22"/>
      <c r="I478" s="22"/>
      <c r="J478" s="22"/>
      <c r="K478" s="22"/>
    </row>
    <row r="479">
      <c r="F479" s="61"/>
      <c r="G479" s="22"/>
      <c r="H479" s="22"/>
      <c r="I479" s="22"/>
      <c r="J479" s="22"/>
      <c r="K479" s="22"/>
    </row>
    <row r="480">
      <c r="F480" s="61"/>
      <c r="G480" s="22"/>
      <c r="H480" s="22"/>
      <c r="I480" s="22"/>
      <c r="J480" s="22"/>
      <c r="K480" s="22"/>
    </row>
    <row r="481">
      <c r="F481" s="61"/>
      <c r="G481" s="22"/>
      <c r="H481" s="22"/>
      <c r="I481" s="22"/>
      <c r="J481" s="22"/>
      <c r="K481" s="22"/>
    </row>
    <row r="482">
      <c r="F482" s="61"/>
      <c r="G482" s="22"/>
      <c r="H482" s="22"/>
      <c r="I482" s="22"/>
      <c r="J482" s="22"/>
      <c r="K482" s="22"/>
    </row>
    <row r="483">
      <c r="F483" s="61"/>
      <c r="G483" s="22"/>
      <c r="H483" s="22"/>
      <c r="I483" s="22"/>
      <c r="J483" s="22"/>
      <c r="K483" s="22"/>
    </row>
    <row r="484">
      <c r="F484" s="61"/>
      <c r="G484" s="22"/>
      <c r="H484" s="22"/>
      <c r="I484" s="22"/>
      <c r="J484" s="22"/>
      <c r="K484" s="22"/>
    </row>
    <row r="485">
      <c r="F485" s="61"/>
      <c r="G485" s="22"/>
      <c r="H485" s="22"/>
      <c r="I485" s="22"/>
      <c r="J485" s="22"/>
      <c r="K485" s="22"/>
    </row>
    <row r="486">
      <c r="F486" s="61"/>
      <c r="G486" s="22"/>
      <c r="H486" s="22"/>
      <c r="I486" s="22"/>
      <c r="J486" s="22"/>
      <c r="K486" s="22"/>
    </row>
    <row r="487">
      <c r="F487" s="61"/>
      <c r="G487" s="22"/>
      <c r="H487" s="22"/>
      <c r="I487" s="22"/>
      <c r="J487" s="22"/>
      <c r="K487" s="22"/>
    </row>
    <row r="488">
      <c r="F488" s="61"/>
      <c r="G488" s="22"/>
      <c r="H488" s="22"/>
      <c r="I488" s="22"/>
      <c r="J488" s="22"/>
      <c r="K488" s="22"/>
    </row>
    <row r="489">
      <c r="F489" s="61"/>
      <c r="G489" s="22"/>
      <c r="H489" s="22"/>
      <c r="I489" s="22"/>
      <c r="J489" s="22"/>
      <c r="K489" s="22"/>
    </row>
    <row r="490">
      <c r="F490" s="61"/>
      <c r="G490" s="22"/>
      <c r="H490" s="22"/>
      <c r="I490" s="22"/>
      <c r="J490" s="22"/>
      <c r="K490" s="22"/>
    </row>
    <row r="491">
      <c r="F491" s="61"/>
      <c r="G491" s="22"/>
      <c r="H491" s="22"/>
      <c r="I491" s="22"/>
      <c r="J491" s="22"/>
      <c r="K491" s="22"/>
    </row>
    <row r="492">
      <c r="F492" s="61"/>
      <c r="G492" s="22"/>
      <c r="H492" s="22"/>
      <c r="I492" s="22"/>
      <c r="J492" s="22"/>
      <c r="K492" s="22"/>
    </row>
    <row r="493">
      <c r="F493" s="61"/>
      <c r="G493" s="22"/>
      <c r="H493" s="22"/>
      <c r="I493" s="22"/>
      <c r="J493" s="22"/>
      <c r="K493" s="22"/>
    </row>
    <row r="494">
      <c r="F494" s="61"/>
      <c r="G494" s="22"/>
      <c r="H494" s="22"/>
      <c r="I494" s="22"/>
      <c r="J494" s="22"/>
      <c r="K494" s="22"/>
    </row>
    <row r="495">
      <c r="F495" s="61"/>
      <c r="G495" s="22"/>
      <c r="H495" s="22"/>
      <c r="I495" s="22"/>
      <c r="J495" s="22"/>
      <c r="K495" s="22"/>
    </row>
    <row r="496">
      <c r="F496" s="61"/>
      <c r="G496" s="22"/>
      <c r="H496" s="22"/>
      <c r="I496" s="22"/>
      <c r="J496" s="22"/>
      <c r="K496" s="22"/>
    </row>
    <row r="497">
      <c r="F497" s="61"/>
      <c r="G497" s="22"/>
      <c r="H497" s="22"/>
      <c r="I497" s="22"/>
      <c r="J497" s="22"/>
      <c r="K497" s="22"/>
    </row>
    <row r="498">
      <c r="F498" s="61"/>
      <c r="G498" s="22"/>
      <c r="H498" s="22"/>
      <c r="I498" s="22"/>
      <c r="J498" s="22"/>
      <c r="K498" s="22"/>
    </row>
    <row r="499">
      <c r="F499" s="61"/>
      <c r="G499" s="22"/>
      <c r="H499" s="22"/>
      <c r="I499" s="22"/>
      <c r="J499" s="22"/>
      <c r="K499" s="22"/>
    </row>
    <row r="500">
      <c r="F500" s="61"/>
      <c r="G500" s="22"/>
      <c r="H500" s="22"/>
      <c r="I500" s="22"/>
      <c r="J500" s="22"/>
      <c r="K500" s="22"/>
    </row>
    <row r="501">
      <c r="F501" s="61"/>
      <c r="G501" s="22"/>
      <c r="H501" s="22"/>
      <c r="I501" s="22"/>
      <c r="J501" s="22"/>
      <c r="K501" s="22"/>
    </row>
    <row r="502">
      <c r="F502" s="61"/>
      <c r="G502" s="22"/>
      <c r="H502" s="22"/>
      <c r="I502" s="22"/>
      <c r="J502" s="22"/>
      <c r="K502" s="22"/>
    </row>
    <row r="503">
      <c r="F503" s="61"/>
      <c r="G503" s="22"/>
      <c r="H503" s="22"/>
      <c r="I503" s="22"/>
      <c r="J503" s="22"/>
      <c r="K503" s="22"/>
    </row>
    <row r="504">
      <c r="F504" s="61"/>
      <c r="G504" s="22"/>
      <c r="H504" s="22"/>
      <c r="I504" s="22"/>
      <c r="J504" s="22"/>
      <c r="K504" s="22"/>
    </row>
    <row r="505">
      <c r="F505" s="61"/>
      <c r="G505" s="22"/>
      <c r="H505" s="22"/>
      <c r="I505" s="22"/>
      <c r="J505" s="22"/>
      <c r="K505" s="22"/>
    </row>
    <row r="506">
      <c r="F506" s="61"/>
      <c r="G506" s="22"/>
      <c r="H506" s="22"/>
      <c r="I506" s="22"/>
      <c r="J506" s="22"/>
      <c r="K506" s="22"/>
    </row>
    <row r="507">
      <c r="F507" s="61"/>
      <c r="G507" s="22"/>
      <c r="H507" s="22"/>
      <c r="I507" s="22"/>
      <c r="J507" s="22"/>
      <c r="K507" s="22"/>
    </row>
    <row r="508">
      <c r="F508" s="61"/>
      <c r="G508" s="22"/>
      <c r="H508" s="22"/>
      <c r="I508" s="22"/>
      <c r="J508" s="22"/>
      <c r="K508" s="22"/>
    </row>
    <row r="509">
      <c r="F509" s="61"/>
      <c r="G509" s="22"/>
      <c r="H509" s="22"/>
      <c r="I509" s="22"/>
      <c r="J509" s="22"/>
      <c r="K509" s="22"/>
    </row>
    <row r="510">
      <c r="F510" s="61"/>
      <c r="G510" s="22"/>
      <c r="H510" s="22"/>
      <c r="I510" s="22"/>
      <c r="J510" s="22"/>
      <c r="K510" s="22"/>
    </row>
    <row r="511">
      <c r="F511" s="61"/>
      <c r="G511" s="22"/>
      <c r="H511" s="22"/>
      <c r="I511" s="22"/>
      <c r="J511" s="22"/>
      <c r="K511" s="22"/>
    </row>
    <row r="512">
      <c r="F512" s="61"/>
      <c r="G512" s="22"/>
      <c r="H512" s="22"/>
      <c r="I512" s="22"/>
      <c r="J512" s="22"/>
      <c r="K512" s="22"/>
    </row>
    <row r="513">
      <c r="F513" s="61"/>
      <c r="G513" s="22"/>
      <c r="H513" s="22"/>
      <c r="I513" s="22"/>
      <c r="J513" s="22"/>
      <c r="K513" s="22"/>
    </row>
    <row r="514">
      <c r="F514" s="61"/>
      <c r="G514" s="22"/>
      <c r="H514" s="22"/>
      <c r="I514" s="22"/>
      <c r="J514" s="22"/>
      <c r="K514" s="22"/>
    </row>
    <row r="515">
      <c r="F515" s="61"/>
      <c r="G515" s="22"/>
      <c r="H515" s="22"/>
      <c r="I515" s="22"/>
      <c r="J515" s="22"/>
      <c r="K515" s="22"/>
    </row>
    <row r="516">
      <c r="F516" s="61"/>
      <c r="G516" s="22"/>
      <c r="H516" s="22"/>
      <c r="I516" s="22"/>
      <c r="J516" s="22"/>
      <c r="K516" s="22"/>
    </row>
    <row r="517">
      <c r="F517" s="61"/>
      <c r="G517" s="22"/>
      <c r="H517" s="22"/>
      <c r="I517" s="22"/>
      <c r="J517" s="22"/>
      <c r="K517" s="22"/>
    </row>
    <row r="518">
      <c r="F518" s="61"/>
      <c r="G518" s="22"/>
      <c r="H518" s="22"/>
      <c r="I518" s="22"/>
      <c r="J518" s="22"/>
      <c r="K518" s="22"/>
    </row>
    <row r="519">
      <c r="F519" s="61"/>
      <c r="G519" s="22"/>
      <c r="H519" s="22"/>
      <c r="I519" s="22"/>
      <c r="J519" s="22"/>
      <c r="K519" s="22"/>
    </row>
    <row r="520">
      <c r="F520" s="61"/>
      <c r="G520" s="22"/>
      <c r="H520" s="22"/>
      <c r="I520" s="22"/>
      <c r="J520" s="22"/>
      <c r="K520" s="22"/>
    </row>
    <row r="521">
      <c r="F521" s="61"/>
      <c r="G521" s="22"/>
      <c r="H521" s="22"/>
      <c r="I521" s="22"/>
      <c r="J521" s="22"/>
      <c r="K521" s="22"/>
    </row>
    <row r="522">
      <c r="F522" s="61"/>
      <c r="G522" s="22"/>
      <c r="H522" s="22"/>
      <c r="I522" s="22"/>
      <c r="J522" s="22"/>
      <c r="K522" s="22"/>
    </row>
    <row r="523">
      <c r="F523" s="61"/>
      <c r="G523" s="22"/>
      <c r="H523" s="22"/>
      <c r="I523" s="22"/>
      <c r="J523" s="22"/>
      <c r="K523" s="22"/>
    </row>
    <row r="524">
      <c r="F524" s="61"/>
      <c r="G524" s="22"/>
      <c r="H524" s="22"/>
      <c r="I524" s="22"/>
      <c r="J524" s="22"/>
      <c r="K524" s="22"/>
    </row>
    <row r="525">
      <c r="F525" s="61"/>
      <c r="G525" s="22"/>
      <c r="H525" s="22"/>
      <c r="I525" s="22"/>
      <c r="J525" s="22"/>
      <c r="K525" s="22"/>
    </row>
    <row r="526">
      <c r="F526" s="61"/>
      <c r="G526" s="22"/>
      <c r="H526" s="22"/>
      <c r="I526" s="22"/>
      <c r="J526" s="22"/>
      <c r="K526" s="22"/>
    </row>
    <row r="527">
      <c r="F527" s="61"/>
      <c r="G527" s="22"/>
      <c r="H527" s="22"/>
      <c r="I527" s="22"/>
      <c r="J527" s="22"/>
      <c r="K527" s="22"/>
    </row>
    <row r="528">
      <c r="F528" s="61"/>
      <c r="G528" s="22"/>
      <c r="H528" s="22"/>
      <c r="I528" s="22"/>
      <c r="J528" s="22"/>
      <c r="K528" s="22"/>
    </row>
    <row r="529">
      <c r="F529" s="61"/>
      <c r="G529" s="22"/>
      <c r="H529" s="22"/>
      <c r="I529" s="22"/>
      <c r="J529" s="22"/>
      <c r="K529" s="22"/>
    </row>
    <row r="530">
      <c r="F530" s="61"/>
      <c r="G530" s="22"/>
      <c r="H530" s="22"/>
      <c r="I530" s="22"/>
      <c r="J530" s="22"/>
      <c r="K530" s="22"/>
    </row>
    <row r="531">
      <c r="F531" s="61"/>
      <c r="G531" s="22"/>
      <c r="H531" s="22"/>
      <c r="I531" s="22"/>
      <c r="J531" s="22"/>
      <c r="K531" s="22"/>
    </row>
    <row r="532">
      <c r="F532" s="61"/>
      <c r="G532" s="22"/>
      <c r="H532" s="22"/>
      <c r="I532" s="22"/>
      <c r="J532" s="22"/>
      <c r="K532" s="22"/>
    </row>
    <row r="533">
      <c r="F533" s="61"/>
      <c r="G533" s="22"/>
      <c r="H533" s="22"/>
      <c r="I533" s="22"/>
      <c r="J533" s="22"/>
      <c r="K533" s="22"/>
    </row>
    <row r="534">
      <c r="F534" s="61"/>
      <c r="G534" s="22"/>
      <c r="H534" s="22"/>
      <c r="I534" s="22"/>
      <c r="J534" s="22"/>
      <c r="K534" s="22"/>
    </row>
    <row r="535">
      <c r="F535" s="61"/>
      <c r="G535" s="22"/>
      <c r="H535" s="22"/>
      <c r="I535" s="22"/>
      <c r="J535" s="22"/>
      <c r="K535" s="22"/>
    </row>
    <row r="536">
      <c r="F536" s="61"/>
      <c r="G536" s="22"/>
      <c r="H536" s="22"/>
      <c r="I536" s="22"/>
      <c r="J536" s="22"/>
      <c r="K536" s="22"/>
    </row>
    <row r="537">
      <c r="F537" s="61"/>
      <c r="G537" s="22"/>
      <c r="H537" s="22"/>
      <c r="I537" s="22"/>
      <c r="J537" s="22"/>
      <c r="K537" s="22"/>
    </row>
    <row r="538">
      <c r="F538" s="61"/>
      <c r="G538" s="22"/>
      <c r="H538" s="22"/>
      <c r="I538" s="22"/>
      <c r="J538" s="22"/>
      <c r="K538" s="22"/>
    </row>
    <row r="539">
      <c r="F539" s="61"/>
      <c r="G539" s="22"/>
      <c r="H539" s="22"/>
      <c r="I539" s="22"/>
      <c r="J539" s="22"/>
      <c r="K539" s="22"/>
    </row>
    <row r="540">
      <c r="F540" s="61"/>
      <c r="G540" s="22"/>
      <c r="H540" s="22"/>
      <c r="I540" s="22"/>
      <c r="J540" s="22"/>
      <c r="K540" s="22"/>
    </row>
    <row r="541">
      <c r="F541" s="61"/>
      <c r="G541" s="22"/>
      <c r="H541" s="22"/>
      <c r="I541" s="22"/>
      <c r="J541" s="22"/>
      <c r="K541" s="22"/>
    </row>
    <row r="542">
      <c r="F542" s="61"/>
      <c r="G542" s="22"/>
      <c r="H542" s="22"/>
      <c r="I542" s="22"/>
      <c r="J542" s="22"/>
      <c r="K542" s="22"/>
    </row>
    <row r="543">
      <c r="F543" s="61"/>
      <c r="G543" s="22"/>
      <c r="H543" s="22"/>
      <c r="I543" s="22"/>
      <c r="J543" s="22"/>
      <c r="K543" s="22"/>
    </row>
    <row r="544">
      <c r="F544" s="61"/>
      <c r="G544" s="22"/>
      <c r="H544" s="22"/>
      <c r="I544" s="22"/>
      <c r="J544" s="22"/>
      <c r="K544" s="22"/>
    </row>
    <row r="545">
      <c r="F545" s="61"/>
      <c r="G545" s="22"/>
      <c r="H545" s="22"/>
      <c r="I545" s="22"/>
      <c r="J545" s="22"/>
      <c r="K545" s="22"/>
    </row>
    <row r="546">
      <c r="F546" s="61"/>
      <c r="G546" s="22"/>
      <c r="H546" s="22"/>
      <c r="I546" s="22"/>
      <c r="J546" s="22"/>
      <c r="K546" s="22"/>
    </row>
    <row r="547">
      <c r="F547" s="61"/>
      <c r="G547" s="22"/>
      <c r="H547" s="22"/>
      <c r="I547" s="22"/>
      <c r="J547" s="22"/>
      <c r="K547" s="22"/>
    </row>
    <row r="548">
      <c r="F548" s="61"/>
      <c r="G548" s="22"/>
      <c r="H548" s="22"/>
      <c r="I548" s="22"/>
      <c r="J548" s="22"/>
      <c r="K548" s="22"/>
    </row>
    <row r="549">
      <c r="F549" s="61"/>
      <c r="G549" s="22"/>
      <c r="H549" s="22"/>
      <c r="I549" s="22"/>
      <c r="J549" s="22"/>
      <c r="K549" s="22"/>
    </row>
    <row r="550">
      <c r="F550" s="61"/>
      <c r="G550" s="22"/>
      <c r="H550" s="22"/>
      <c r="I550" s="22"/>
      <c r="J550" s="22"/>
      <c r="K550" s="22"/>
    </row>
    <row r="551">
      <c r="F551" s="61"/>
      <c r="G551" s="22"/>
      <c r="H551" s="22"/>
      <c r="I551" s="22"/>
      <c r="J551" s="22"/>
      <c r="K551" s="22"/>
    </row>
    <row r="552">
      <c r="F552" s="61"/>
      <c r="G552" s="22"/>
      <c r="H552" s="22"/>
      <c r="I552" s="22"/>
      <c r="J552" s="22"/>
      <c r="K552" s="22"/>
    </row>
    <row r="553">
      <c r="F553" s="61"/>
      <c r="G553" s="22"/>
      <c r="H553" s="22"/>
      <c r="I553" s="22"/>
      <c r="J553" s="22"/>
      <c r="K553" s="22"/>
    </row>
    <row r="554">
      <c r="F554" s="61"/>
      <c r="G554" s="22"/>
      <c r="H554" s="22"/>
      <c r="I554" s="22"/>
      <c r="J554" s="22"/>
      <c r="K554" s="22"/>
    </row>
    <row r="555">
      <c r="F555" s="61"/>
      <c r="G555" s="22"/>
      <c r="H555" s="22"/>
      <c r="I555" s="22"/>
      <c r="J555" s="22"/>
      <c r="K555" s="22"/>
    </row>
    <row r="556">
      <c r="F556" s="61"/>
      <c r="G556" s="22"/>
      <c r="H556" s="22"/>
      <c r="I556" s="22"/>
      <c r="J556" s="22"/>
      <c r="K556" s="22"/>
    </row>
    <row r="557">
      <c r="F557" s="61"/>
      <c r="G557" s="22"/>
      <c r="H557" s="22"/>
      <c r="I557" s="22"/>
      <c r="J557" s="22"/>
      <c r="K557" s="22"/>
    </row>
    <row r="558">
      <c r="F558" s="61"/>
      <c r="G558" s="22"/>
      <c r="H558" s="22"/>
      <c r="I558" s="22"/>
      <c r="J558" s="22"/>
      <c r="K558" s="22"/>
    </row>
    <row r="559">
      <c r="F559" s="61"/>
      <c r="G559" s="22"/>
      <c r="H559" s="22"/>
      <c r="I559" s="22"/>
      <c r="J559" s="22"/>
      <c r="K559" s="22"/>
    </row>
    <row r="560">
      <c r="F560" s="61"/>
      <c r="G560" s="22"/>
      <c r="H560" s="22"/>
      <c r="I560" s="22"/>
      <c r="J560" s="22"/>
      <c r="K560" s="22"/>
    </row>
    <row r="561">
      <c r="F561" s="61"/>
      <c r="G561" s="22"/>
      <c r="H561" s="22"/>
      <c r="I561" s="22"/>
      <c r="J561" s="22"/>
      <c r="K561" s="22"/>
    </row>
    <row r="562">
      <c r="F562" s="61"/>
      <c r="G562" s="22"/>
      <c r="H562" s="22"/>
      <c r="I562" s="22"/>
      <c r="J562" s="22"/>
      <c r="K562" s="22"/>
    </row>
    <row r="563">
      <c r="F563" s="61"/>
      <c r="G563" s="22"/>
      <c r="H563" s="22"/>
      <c r="I563" s="22"/>
      <c r="J563" s="22"/>
      <c r="K563" s="22"/>
    </row>
    <row r="564">
      <c r="F564" s="61"/>
      <c r="G564" s="22"/>
      <c r="H564" s="22"/>
      <c r="I564" s="22"/>
      <c r="J564" s="22"/>
      <c r="K564" s="22"/>
    </row>
    <row r="565">
      <c r="F565" s="61"/>
      <c r="G565" s="22"/>
      <c r="H565" s="22"/>
      <c r="I565" s="22"/>
      <c r="J565" s="22"/>
      <c r="K565" s="22"/>
    </row>
    <row r="566">
      <c r="F566" s="61"/>
      <c r="G566" s="22"/>
      <c r="H566" s="22"/>
      <c r="I566" s="22"/>
      <c r="J566" s="22"/>
      <c r="K566" s="22"/>
    </row>
    <row r="567">
      <c r="F567" s="61"/>
      <c r="G567" s="22"/>
      <c r="H567" s="22"/>
      <c r="I567" s="22"/>
      <c r="J567" s="22"/>
      <c r="K567" s="22"/>
    </row>
    <row r="568">
      <c r="F568" s="61"/>
      <c r="G568" s="22"/>
      <c r="H568" s="22"/>
      <c r="I568" s="22"/>
      <c r="J568" s="22"/>
      <c r="K568" s="22"/>
    </row>
    <row r="569">
      <c r="F569" s="61"/>
      <c r="G569" s="22"/>
      <c r="H569" s="22"/>
      <c r="I569" s="22"/>
      <c r="J569" s="22"/>
      <c r="K569" s="22"/>
    </row>
    <row r="570">
      <c r="F570" s="61"/>
      <c r="G570" s="22"/>
      <c r="H570" s="22"/>
      <c r="I570" s="22"/>
      <c r="J570" s="22"/>
      <c r="K570" s="22"/>
    </row>
    <row r="571">
      <c r="F571" s="61"/>
      <c r="G571" s="22"/>
      <c r="H571" s="22"/>
      <c r="I571" s="22"/>
      <c r="J571" s="22"/>
      <c r="K571" s="22"/>
    </row>
    <row r="572">
      <c r="F572" s="61"/>
      <c r="G572" s="22"/>
      <c r="H572" s="22"/>
      <c r="I572" s="22"/>
      <c r="J572" s="22"/>
      <c r="K572" s="22"/>
    </row>
    <row r="573">
      <c r="F573" s="61"/>
      <c r="G573" s="22"/>
      <c r="H573" s="22"/>
      <c r="I573" s="22"/>
      <c r="J573" s="22"/>
      <c r="K573" s="22"/>
    </row>
    <row r="574">
      <c r="F574" s="61"/>
      <c r="G574" s="22"/>
      <c r="H574" s="22"/>
      <c r="I574" s="22"/>
      <c r="J574" s="22"/>
      <c r="K574" s="22"/>
    </row>
    <row r="575">
      <c r="F575" s="61"/>
      <c r="G575" s="22"/>
      <c r="H575" s="22"/>
      <c r="I575" s="22"/>
      <c r="J575" s="22"/>
      <c r="K575" s="22"/>
    </row>
    <row r="576">
      <c r="F576" s="61"/>
      <c r="G576" s="22"/>
      <c r="H576" s="22"/>
      <c r="I576" s="22"/>
      <c r="J576" s="22"/>
      <c r="K576" s="22"/>
    </row>
    <row r="577">
      <c r="F577" s="61"/>
      <c r="G577" s="22"/>
      <c r="H577" s="22"/>
      <c r="I577" s="22"/>
      <c r="J577" s="22"/>
      <c r="K577" s="22"/>
    </row>
    <row r="578">
      <c r="F578" s="61"/>
      <c r="G578" s="22"/>
      <c r="H578" s="22"/>
      <c r="I578" s="22"/>
      <c r="J578" s="22"/>
      <c r="K578" s="22"/>
    </row>
    <row r="579">
      <c r="F579" s="61"/>
      <c r="G579" s="22"/>
      <c r="H579" s="22"/>
      <c r="I579" s="22"/>
      <c r="J579" s="22"/>
      <c r="K579" s="22"/>
    </row>
    <row r="580">
      <c r="F580" s="61"/>
      <c r="G580" s="22"/>
      <c r="H580" s="22"/>
      <c r="I580" s="22"/>
      <c r="J580" s="22"/>
      <c r="K580" s="22"/>
    </row>
    <row r="581">
      <c r="F581" s="61"/>
      <c r="G581" s="22"/>
      <c r="H581" s="22"/>
      <c r="I581" s="22"/>
      <c r="J581" s="22"/>
      <c r="K581" s="22"/>
    </row>
    <row r="582">
      <c r="F582" s="61"/>
      <c r="G582" s="22"/>
      <c r="H582" s="22"/>
      <c r="I582" s="22"/>
      <c r="J582" s="22"/>
      <c r="K582" s="22"/>
    </row>
    <row r="583">
      <c r="F583" s="61"/>
      <c r="G583" s="22"/>
      <c r="H583" s="22"/>
      <c r="I583" s="22"/>
      <c r="J583" s="22"/>
      <c r="K583" s="22"/>
    </row>
    <row r="584">
      <c r="F584" s="61"/>
      <c r="G584" s="22"/>
      <c r="H584" s="22"/>
      <c r="I584" s="22"/>
      <c r="J584" s="22"/>
      <c r="K584" s="22"/>
    </row>
    <row r="585">
      <c r="F585" s="61"/>
      <c r="G585" s="22"/>
      <c r="H585" s="22"/>
      <c r="I585" s="22"/>
      <c r="J585" s="22"/>
      <c r="K585" s="22"/>
    </row>
    <row r="586">
      <c r="F586" s="61"/>
      <c r="G586" s="22"/>
      <c r="H586" s="22"/>
      <c r="I586" s="22"/>
      <c r="J586" s="22"/>
      <c r="K586" s="22"/>
    </row>
    <row r="587">
      <c r="F587" s="61"/>
      <c r="G587" s="22"/>
      <c r="H587" s="22"/>
      <c r="I587" s="22"/>
      <c r="J587" s="22"/>
      <c r="K587" s="22"/>
    </row>
    <row r="588">
      <c r="F588" s="61"/>
      <c r="G588" s="22"/>
      <c r="H588" s="22"/>
      <c r="I588" s="22"/>
      <c r="J588" s="22"/>
      <c r="K588" s="22"/>
    </row>
    <row r="589">
      <c r="F589" s="61"/>
      <c r="G589" s="22"/>
      <c r="H589" s="22"/>
      <c r="I589" s="22"/>
      <c r="J589" s="22"/>
      <c r="K589" s="22"/>
    </row>
    <row r="590">
      <c r="F590" s="61"/>
      <c r="G590" s="22"/>
      <c r="H590" s="22"/>
      <c r="I590" s="22"/>
      <c r="J590" s="22"/>
      <c r="K590" s="22"/>
    </row>
    <row r="591">
      <c r="F591" s="61"/>
      <c r="G591" s="22"/>
      <c r="H591" s="22"/>
      <c r="I591" s="22"/>
      <c r="J591" s="22"/>
      <c r="K591" s="22"/>
    </row>
    <row r="592">
      <c r="F592" s="61"/>
      <c r="G592" s="22"/>
      <c r="H592" s="22"/>
      <c r="I592" s="22"/>
      <c r="J592" s="22"/>
      <c r="K592" s="22"/>
    </row>
    <row r="593">
      <c r="F593" s="61"/>
      <c r="G593" s="22"/>
      <c r="H593" s="22"/>
      <c r="I593" s="22"/>
      <c r="J593" s="22"/>
      <c r="K593" s="22"/>
    </row>
    <row r="594">
      <c r="F594" s="61"/>
      <c r="G594" s="22"/>
      <c r="H594" s="22"/>
      <c r="I594" s="22"/>
      <c r="J594" s="22"/>
      <c r="K594" s="22"/>
    </row>
    <row r="595">
      <c r="F595" s="61"/>
      <c r="G595" s="22"/>
      <c r="H595" s="22"/>
      <c r="I595" s="22"/>
      <c r="J595" s="22"/>
      <c r="K595" s="22"/>
    </row>
    <row r="596">
      <c r="F596" s="61"/>
      <c r="G596" s="22"/>
      <c r="H596" s="22"/>
      <c r="I596" s="22"/>
      <c r="J596" s="22"/>
      <c r="K596" s="22"/>
    </row>
    <row r="597">
      <c r="F597" s="61"/>
      <c r="G597" s="22"/>
      <c r="H597" s="22"/>
      <c r="I597" s="22"/>
      <c r="J597" s="22"/>
      <c r="K597" s="22"/>
    </row>
    <row r="598">
      <c r="F598" s="61"/>
      <c r="G598" s="22"/>
      <c r="H598" s="22"/>
      <c r="I598" s="22"/>
      <c r="J598" s="22"/>
      <c r="K598" s="22"/>
    </row>
    <row r="599">
      <c r="F599" s="61"/>
      <c r="G599" s="22"/>
      <c r="H599" s="22"/>
      <c r="I599" s="22"/>
      <c r="J599" s="22"/>
      <c r="K599" s="22"/>
    </row>
    <row r="600">
      <c r="F600" s="61"/>
      <c r="G600" s="22"/>
      <c r="H600" s="22"/>
      <c r="I600" s="22"/>
      <c r="J600" s="22"/>
      <c r="K600" s="22"/>
    </row>
    <row r="601">
      <c r="F601" s="61"/>
      <c r="G601" s="22"/>
      <c r="H601" s="22"/>
      <c r="I601" s="22"/>
      <c r="J601" s="22"/>
      <c r="K601" s="22"/>
    </row>
    <row r="602">
      <c r="F602" s="61"/>
      <c r="G602" s="22"/>
      <c r="H602" s="22"/>
      <c r="I602" s="22"/>
      <c r="J602" s="22"/>
      <c r="K602" s="22"/>
    </row>
    <row r="603">
      <c r="F603" s="61"/>
      <c r="G603" s="22"/>
      <c r="H603" s="22"/>
      <c r="I603" s="22"/>
      <c r="J603" s="22"/>
      <c r="K603" s="22"/>
    </row>
    <row r="604">
      <c r="F604" s="61"/>
      <c r="G604" s="22"/>
      <c r="H604" s="22"/>
      <c r="I604" s="22"/>
      <c r="J604" s="22"/>
      <c r="K604" s="22"/>
    </row>
    <row r="605">
      <c r="F605" s="61"/>
      <c r="G605" s="22"/>
      <c r="H605" s="22"/>
      <c r="I605" s="22"/>
      <c r="J605" s="22"/>
      <c r="K605" s="22"/>
    </row>
    <row r="606">
      <c r="F606" s="61"/>
      <c r="G606" s="22"/>
      <c r="H606" s="22"/>
      <c r="I606" s="22"/>
      <c r="J606" s="22"/>
      <c r="K606" s="22"/>
    </row>
    <row r="607">
      <c r="F607" s="61"/>
      <c r="G607" s="22"/>
      <c r="H607" s="22"/>
      <c r="I607" s="22"/>
      <c r="J607" s="22"/>
      <c r="K607" s="22"/>
    </row>
    <row r="608">
      <c r="F608" s="61"/>
      <c r="G608" s="22"/>
      <c r="H608" s="22"/>
      <c r="I608" s="22"/>
      <c r="J608" s="22"/>
      <c r="K608" s="22"/>
    </row>
    <row r="609">
      <c r="F609" s="61"/>
      <c r="G609" s="22"/>
      <c r="H609" s="22"/>
      <c r="I609" s="22"/>
      <c r="J609" s="22"/>
      <c r="K609" s="22"/>
    </row>
    <row r="610">
      <c r="F610" s="61"/>
      <c r="G610" s="22"/>
      <c r="H610" s="22"/>
      <c r="I610" s="22"/>
      <c r="J610" s="22"/>
      <c r="K610" s="22"/>
    </row>
    <row r="611">
      <c r="F611" s="61"/>
      <c r="G611" s="22"/>
      <c r="H611" s="22"/>
      <c r="I611" s="22"/>
      <c r="J611" s="22"/>
      <c r="K611" s="22"/>
    </row>
    <row r="612">
      <c r="F612" s="61"/>
      <c r="G612" s="22"/>
      <c r="H612" s="22"/>
      <c r="I612" s="22"/>
      <c r="J612" s="22"/>
      <c r="K612" s="22"/>
    </row>
    <row r="613">
      <c r="F613" s="61"/>
      <c r="G613" s="22"/>
      <c r="H613" s="22"/>
      <c r="I613" s="22"/>
      <c r="J613" s="22"/>
      <c r="K613" s="22"/>
    </row>
    <row r="614">
      <c r="F614" s="61"/>
      <c r="G614" s="22"/>
      <c r="H614" s="22"/>
      <c r="I614" s="22"/>
      <c r="J614" s="22"/>
      <c r="K614" s="22"/>
    </row>
    <row r="615">
      <c r="F615" s="61"/>
      <c r="G615" s="22"/>
      <c r="H615" s="22"/>
      <c r="I615" s="22"/>
      <c r="J615" s="22"/>
      <c r="K615" s="22"/>
    </row>
    <row r="616">
      <c r="F616" s="61"/>
      <c r="G616" s="22"/>
      <c r="H616" s="22"/>
      <c r="I616" s="22"/>
      <c r="J616" s="22"/>
      <c r="K616" s="22"/>
    </row>
    <row r="617">
      <c r="F617" s="61"/>
      <c r="G617" s="22"/>
      <c r="H617" s="22"/>
      <c r="I617" s="22"/>
      <c r="J617" s="22"/>
      <c r="K617" s="22"/>
    </row>
    <row r="618">
      <c r="F618" s="61"/>
      <c r="G618" s="22"/>
      <c r="H618" s="22"/>
      <c r="I618" s="22"/>
      <c r="J618" s="22"/>
      <c r="K618" s="22"/>
    </row>
    <row r="619">
      <c r="F619" s="61"/>
      <c r="G619" s="22"/>
      <c r="H619" s="22"/>
      <c r="I619" s="22"/>
      <c r="J619" s="22"/>
      <c r="K619" s="22"/>
    </row>
    <row r="620">
      <c r="F620" s="61"/>
      <c r="G620" s="22"/>
      <c r="H620" s="22"/>
      <c r="I620" s="22"/>
      <c r="J620" s="22"/>
      <c r="K620" s="22"/>
    </row>
    <row r="621">
      <c r="F621" s="61"/>
      <c r="G621" s="22"/>
      <c r="H621" s="22"/>
      <c r="I621" s="22"/>
      <c r="J621" s="22"/>
      <c r="K621" s="22"/>
    </row>
    <row r="622">
      <c r="F622" s="61"/>
      <c r="G622" s="22"/>
      <c r="H622" s="22"/>
      <c r="I622" s="22"/>
      <c r="J622" s="22"/>
      <c r="K622" s="22"/>
    </row>
    <row r="623">
      <c r="F623" s="61"/>
      <c r="G623" s="22"/>
      <c r="H623" s="22"/>
      <c r="I623" s="22"/>
      <c r="J623" s="22"/>
      <c r="K623" s="22"/>
    </row>
    <row r="624">
      <c r="F624" s="61"/>
      <c r="G624" s="22"/>
      <c r="H624" s="22"/>
      <c r="I624" s="22"/>
      <c r="J624" s="22"/>
      <c r="K624" s="22"/>
    </row>
    <row r="625">
      <c r="F625" s="61"/>
      <c r="G625" s="22"/>
      <c r="H625" s="22"/>
      <c r="I625" s="22"/>
      <c r="J625" s="22"/>
      <c r="K625" s="22"/>
    </row>
    <row r="626">
      <c r="F626" s="61"/>
      <c r="G626" s="22"/>
      <c r="H626" s="22"/>
      <c r="I626" s="22"/>
      <c r="J626" s="22"/>
      <c r="K626" s="22"/>
    </row>
    <row r="627">
      <c r="F627" s="61"/>
      <c r="G627" s="22"/>
      <c r="H627" s="22"/>
      <c r="I627" s="22"/>
      <c r="J627" s="22"/>
      <c r="K627" s="22"/>
    </row>
    <row r="628">
      <c r="F628" s="61"/>
      <c r="G628" s="22"/>
      <c r="H628" s="22"/>
      <c r="I628" s="22"/>
      <c r="J628" s="22"/>
      <c r="K628" s="22"/>
    </row>
    <row r="629">
      <c r="F629" s="61"/>
      <c r="G629" s="22"/>
      <c r="H629" s="22"/>
      <c r="I629" s="22"/>
      <c r="J629" s="22"/>
      <c r="K629" s="22"/>
    </row>
    <row r="630">
      <c r="F630" s="61"/>
      <c r="G630" s="22"/>
      <c r="H630" s="22"/>
      <c r="I630" s="22"/>
      <c r="J630" s="22"/>
      <c r="K630" s="22"/>
    </row>
    <row r="631">
      <c r="F631" s="61"/>
      <c r="G631" s="22"/>
      <c r="H631" s="22"/>
      <c r="I631" s="22"/>
      <c r="J631" s="22"/>
      <c r="K631" s="22"/>
    </row>
    <row r="632">
      <c r="F632" s="61"/>
      <c r="G632" s="22"/>
      <c r="H632" s="22"/>
      <c r="I632" s="22"/>
      <c r="J632" s="22"/>
      <c r="K632" s="22"/>
    </row>
    <row r="633">
      <c r="F633" s="61"/>
      <c r="G633" s="22"/>
      <c r="H633" s="22"/>
      <c r="I633" s="22"/>
      <c r="J633" s="22"/>
      <c r="K633" s="22"/>
    </row>
    <row r="634">
      <c r="F634" s="61"/>
      <c r="G634" s="22"/>
      <c r="H634" s="22"/>
      <c r="I634" s="22"/>
      <c r="J634" s="22"/>
      <c r="K634" s="22"/>
    </row>
    <row r="635">
      <c r="F635" s="61"/>
      <c r="G635" s="22"/>
      <c r="H635" s="22"/>
      <c r="I635" s="22"/>
      <c r="J635" s="22"/>
      <c r="K635" s="22"/>
    </row>
    <row r="636">
      <c r="F636" s="61"/>
      <c r="G636" s="22"/>
      <c r="H636" s="22"/>
      <c r="I636" s="22"/>
      <c r="J636" s="22"/>
      <c r="K636" s="22"/>
    </row>
    <row r="637">
      <c r="F637" s="61"/>
      <c r="G637" s="22"/>
      <c r="H637" s="22"/>
      <c r="I637" s="22"/>
      <c r="J637" s="22"/>
      <c r="K637" s="22"/>
    </row>
    <row r="638">
      <c r="F638" s="61"/>
      <c r="G638" s="22"/>
      <c r="H638" s="22"/>
      <c r="I638" s="22"/>
      <c r="J638" s="22"/>
      <c r="K638" s="22"/>
    </row>
    <row r="639">
      <c r="F639" s="61"/>
      <c r="G639" s="22"/>
      <c r="H639" s="22"/>
      <c r="I639" s="22"/>
      <c r="J639" s="22"/>
      <c r="K639" s="22"/>
    </row>
    <row r="640">
      <c r="F640" s="61"/>
      <c r="G640" s="22"/>
      <c r="H640" s="22"/>
      <c r="I640" s="22"/>
      <c r="J640" s="22"/>
      <c r="K640" s="22"/>
    </row>
    <row r="641">
      <c r="F641" s="61"/>
      <c r="G641" s="22"/>
      <c r="H641" s="22"/>
      <c r="I641" s="22"/>
      <c r="J641" s="22"/>
      <c r="K641" s="22"/>
    </row>
    <row r="642">
      <c r="F642" s="61"/>
      <c r="G642" s="22"/>
      <c r="H642" s="22"/>
      <c r="I642" s="22"/>
      <c r="J642" s="22"/>
      <c r="K642" s="22"/>
    </row>
    <row r="643">
      <c r="F643" s="61"/>
      <c r="G643" s="22"/>
      <c r="H643" s="22"/>
      <c r="I643" s="22"/>
      <c r="J643" s="22"/>
      <c r="K643" s="22"/>
    </row>
    <row r="644">
      <c r="F644" s="61"/>
      <c r="G644" s="22"/>
      <c r="H644" s="22"/>
      <c r="I644" s="22"/>
      <c r="J644" s="22"/>
      <c r="K644" s="22"/>
    </row>
    <row r="645">
      <c r="F645" s="61"/>
      <c r="G645" s="22"/>
      <c r="H645" s="22"/>
      <c r="I645" s="22"/>
      <c r="J645" s="22"/>
      <c r="K645" s="22"/>
    </row>
    <row r="646">
      <c r="F646" s="61"/>
      <c r="G646" s="22"/>
      <c r="H646" s="22"/>
      <c r="I646" s="22"/>
      <c r="J646" s="22"/>
      <c r="K646" s="22"/>
    </row>
    <row r="647">
      <c r="F647" s="61"/>
      <c r="G647" s="22"/>
      <c r="H647" s="22"/>
      <c r="I647" s="22"/>
      <c r="J647" s="22"/>
      <c r="K647" s="22"/>
    </row>
    <row r="648">
      <c r="F648" s="61"/>
      <c r="G648" s="22"/>
      <c r="H648" s="22"/>
      <c r="I648" s="22"/>
      <c r="J648" s="22"/>
      <c r="K648" s="22"/>
    </row>
    <row r="649">
      <c r="F649" s="61"/>
      <c r="G649" s="22"/>
      <c r="H649" s="22"/>
      <c r="I649" s="22"/>
      <c r="J649" s="22"/>
      <c r="K649" s="22"/>
    </row>
    <row r="650">
      <c r="F650" s="61"/>
      <c r="G650" s="22"/>
      <c r="H650" s="22"/>
      <c r="I650" s="22"/>
      <c r="J650" s="22"/>
      <c r="K650" s="22"/>
    </row>
    <row r="651">
      <c r="F651" s="61"/>
      <c r="G651" s="22"/>
      <c r="H651" s="22"/>
      <c r="I651" s="22"/>
      <c r="J651" s="22"/>
      <c r="K651" s="22"/>
    </row>
    <row r="652">
      <c r="F652" s="61"/>
      <c r="G652" s="22"/>
      <c r="H652" s="22"/>
      <c r="I652" s="22"/>
      <c r="J652" s="22"/>
      <c r="K652" s="22"/>
    </row>
    <row r="653">
      <c r="F653" s="61"/>
      <c r="G653" s="22"/>
      <c r="H653" s="22"/>
      <c r="I653" s="22"/>
      <c r="J653" s="22"/>
      <c r="K653" s="22"/>
    </row>
    <row r="654">
      <c r="F654" s="61"/>
      <c r="G654" s="22"/>
      <c r="H654" s="22"/>
      <c r="I654" s="22"/>
      <c r="J654" s="22"/>
      <c r="K654" s="22"/>
    </row>
    <row r="655">
      <c r="F655" s="61"/>
      <c r="G655" s="22"/>
      <c r="H655" s="22"/>
      <c r="I655" s="22"/>
      <c r="J655" s="22"/>
      <c r="K655" s="22"/>
    </row>
    <row r="656">
      <c r="F656" s="61"/>
      <c r="G656" s="22"/>
      <c r="H656" s="22"/>
      <c r="I656" s="22"/>
      <c r="J656" s="22"/>
      <c r="K656" s="22"/>
    </row>
    <row r="657">
      <c r="F657" s="61"/>
      <c r="G657" s="22"/>
      <c r="H657" s="22"/>
      <c r="I657" s="22"/>
      <c r="J657" s="22"/>
      <c r="K657" s="22"/>
    </row>
    <row r="658">
      <c r="F658" s="61"/>
      <c r="G658" s="22"/>
      <c r="H658" s="22"/>
      <c r="I658" s="22"/>
      <c r="J658" s="22"/>
      <c r="K658" s="22"/>
    </row>
    <row r="659">
      <c r="F659" s="61"/>
      <c r="G659" s="22"/>
      <c r="H659" s="22"/>
      <c r="I659" s="22"/>
      <c r="J659" s="22"/>
      <c r="K659" s="22"/>
    </row>
    <row r="660">
      <c r="F660" s="61"/>
      <c r="G660" s="22"/>
      <c r="H660" s="22"/>
      <c r="I660" s="22"/>
      <c r="J660" s="22"/>
      <c r="K660" s="22"/>
    </row>
    <row r="661">
      <c r="F661" s="61"/>
      <c r="G661" s="22"/>
      <c r="H661" s="22"/>
      <c r="I661" s="22"/>
      <c r="J661" s="22"/>
      <c r="K661" s="22"/>
    </row>
    <row r="662">
      <c r="F662" s="61"/>
      <c r="G662" s="22"/>
      <c r="H662" s="22"/>
      <c r="I662" s="22"/>
      <c r="J662" s="22"/>
      <c r="K662" s="22"/>
    </row>
    <row r="663">
      <c r="F663" s="61"/>
      <c r="G663" s="22"/>
      <c r="H663" s="22"/>
      <c r="I663" s="22"/>
      <c r="J663" s="22"/>
      <c r="K663" s="22"/>
    </row>
    <row r="664">
      <c r="F664" s="61"/>
      <c r="G664" s="22"/>
      <c r="H664" s="22"/>
      <c r="I664" s="22"/>
      <c r="J664" s="22"/>
      <c r="K664" s="22"/>
    </row>
    <row r="665">
      <c r="F665" s="61"/>
      <c r="G665" s="22"/>
      <c r="H665" s="22"/>
      <c r="I665" s="22"/>
      <c r="J665" s="22"/>
      <c r="K665" s="22"/>
    </row>
    <row r="666">
      <c r="F666" s="61"/>
      <c r="G666" s="22"/>
      <c r="H666" s="22"/>
      <c r="I666" s="22"/>
      <c r="J666" s="22"/>
      <c r="K666" s="22"/>
    </row>
    <row r="667">
      <c r="F667" s="61"/>
      <c r="G667" s="22"/>
      <c r="H667" s="22"/>
      <c r="I667" s="22"/>
      <c r="J667" s="22"/>
      <c r="K667" s="22"/>
    </row>
    <row r="668">
      <c r="F668" s="61"/>
      <c r="G668" s="22"/>
      <c r="H668" s="22"/>
      <c r="I668" s="22"/>
      <c r="J668" s="22"/>
      <c r="K668" s="22"/>
    </row>
    <row r="669">
      <c r="F669" s="61"/>
      <c r="G669" s="22"/>
      <c r="H669" s="22"/>
      <c r="I669" s="22"/>
      <c r="J669" s="22"/>
      <c r="K669" s="22"/>
    </row>
    <row r="670">
      <c r="F670" s="61"/>
      <c r="G670" s="22"/>
      <c r="H670" s="22"/>
      <c r="I670" s="22"/>
      <c r="J670" s="22"/>
      <c r="K670" s="22"/>
    </row>
    <row r="671">
      <c r="F671" s="61"/>
      <c r="G671" s="22"/>
      <c r="H671" s="22"/>
      <c r="I671" s="22"/>
      <c r="J671" s="22"/>
      <c r="K671" s="22"/>
    </row>
    <row r="672">
      <c r="F672" s="61"/>
      <c r="G672" s="22"/>
      <c r="H672" s="22"/>
      <c r="I672" s="22"/>
      <c r="J672" s="22"/>
      <c r="K672" s="22"/>
    </row>
    <row r="673">
      <c r="F673" s="61"/>
      <c r="G673" s="22"/>
      <c r="H673" s="22"/>
      <c r="I673" s="22"/>
      <c r="J673" s="22"/>
      <c r="K673" s="22"/>
    </row>
    <row r="674">
      <c r="F674" s="61"/>
      <c r="G674" s="22"/>
      <c r="H674" s="22"/>
      <c r="I674" s="22"/>
      <c r="J674" s="22"/>
      <c r="K674" s="22"/>
    </row>
    <row r="675">
      <c r="F675" s="61"/>
      <c r="G675" s="22"/>
      <c r="H675" s="22"/>
      <c r="I675" s="22"/>
      <c r="J675" s="22"/>
      <c r="K675" s="22"/>
    </row>
    <row r="676">
      <c r="F676" s="61"/>
      <c r="G676" s="22"/>
      <c r="H676" s="22"/>
      <c r="I676" s="22"/>
      <c r="J676" s="22"/>
      <c r="K676" s="22"/>
    </row>
    <row r="677">
      <c r="F677" s="61"/>
      <c r="G677" s="22"/>
      <c r="H677" s="22"/>
      <c r="I677" s="22"/>
      <c r="J677" s="22"/>
      <c r="K677" s="22"/>
    </row>
    <row r="678">
      <c r="F678" s="61"/>
      <c r="G678" s="22"/>
      <c r="H678" s="22"/>
      <c r="I678" s="22"/>
      <c r="J678" s="22"/>
      <c r="K678" s="22"/>
    </row>
    <row r="679">
      <c r="F679" s="61"/>
      <c r="G679" s="22"/>
      <c r="H679" s="22"/>
      <c r="I679" s="22"/>
      <c r="J679" s="22"/>
      <c r="K679" s="22"/>
    </row>
    <row r="680">
      <c r="F680" s="61"/>
      <c r="G680" s="22"/>
      <c r="H680" s="22"/>
      <c r="I680" s="22"/>
      <c r="J680" s="22"/>
      <c r="K680" s="22"/>
    </row>
    <row r="681">
      <c r="F681" s="61"/>
      <c r="G681" s="22"/>
      <c r="H681" s="22"/>
      <c r="I681" s="22"/>
      <c r="J681" s="22"/>
      <c r="K681" s="22"/>
    </row>
    <row r="682">
      <c r="F682" s="61"/>
      <c r="G682" s="22"/>
      <c r="H682" s="22"/>
      <c r="I682" s="22"/>
      <c r="J682" s="22"/>
      <c r="K682" s="22"/>
    </row>
    <row r="683">
      <c r="F683" s="61"/>
      <c r="G683" s="22"/>
      <c r="H683" s="22"/>
      <c r="I683" s="22"/>
      <c r="J683" s="22"/>
      <c r="K683" s="22"/>
    </row>
    <row r="684">
      <c r="F684" s="61"/>
      <c r="G684" s="22"/>
      <c r="H684" s="22"/>
      <c r="I684" s="22"/>
      <c r="J684" s="22"/>
      <c r="K684" s="22"/>
    </row>
    <row r="685">
      <c r="F685" s="61"/>
      <c r="G685" s="22"/>
      <c r="H685" s="22"/>
      <c r="I685" s="22"/>
      <c r="J685" s="22"/>
      <c r="K685" s="22"/>
    </row>
    <row r="686">
      <c r="F686" s="61"/>
      <c r="G686" s="22"/>
      <c r="H686" s="22"/>
      <c r="I686" s="22"/>
      <c r="J686" s="22"/>
      <c r="K686" s="22"/>
    </row>
    <row r="687">
      <c r="F687" s="61"/>
      <c r="G687" s="22"/>
      <c r="H687" s="22"/>
      <c r="I687" s="22"/>
      <c r="J687" s="22"/>
      <c r="K687" s="22"/>
    </row>
    <row r="688">
      <c r="F688" s="61"/>
      <c r="G688" s="22"/>
      <c r="H688" s="22"/>
      <c r="I688" s="22"/>
      <c r="J688" s="22"/>
      <c r="K688" s="22"/>
    </row>
    <row r="689">
      <c r="F689" s="61"/>
      <c r="G689" s="22"/>
      <c r="H689" s="22"/>
      <c r="I689" s="22"/>
      <c r="J689" s="22"/>
      <c r="K689" s="22"/>
    </row>
    <row r="690">
      <c r="F690" s="61"/>
      <c r="G690" s="22"/>
      <c r="H690" s="22"/>
      <c r="I690" s="22"/>
      <c r="J690" s="22"/>
      <c r="K690" s="22"/>
    </row>
    <row r="691">
      <c r="F691" s="61"/>
      <c r="G691" s="22"/>
      <c r="H691" s="22"/>
      <c r="I691" s="22"/>
      <c r="J691" s="22"/>
      <c r="K691" s="22"/>
    </row>
    <row r="692">
      <c r="F692" s="61"/>
      <c r="G692" s="22"/>
      <c r="H692" s="22"/>
      <c r="I692" s="22"/>
      <c r="J692" s="22"/>
      <c r="K692" s="22"/>
    </row>
    <row r="693">
      <c r="F693" s="61"/>
      <c r="G693" s="22"/>
      <c r="H693" s="22"/>
      <c r="I693" s="22"/>
      <c r="J693" s="22"/>
      <c r="K693" s="22"/>
    </row>
    <row r="694">
      <c r="F694" s="61"/>
      <c r="G694" s="22"/>
      <c r="H694" s="22"/>
      <c r="I694" s="22"/>
      <c r="J694" s="22"/>
      <c r="K694" s="22"/>
    </row>
    <row r="695">
      <c r="F695" s="61"/>
      <c r="G695" s="22"/>
      <c r="H695" s="22"/>
      <c r="I695" s="22"/>
      <c r="J695" s="22"/>
      <c r="K695" s="22"/>
    </row>
    <row r="696">
      <c r="F696" s="61"/>
      <c r="G696" s="22"/>
      <c r="H696" s="22"/>
      <c r="I696" s="22"/>
      <c r="J696" s="22"/>
      <c r="K696" s="22"/>
    </row>
    <row r="697">
      <c r="F697" s="61"/>
      <c r="G697" s="22"/>
      <c r="H697" s="22"/>
      <c r="I697" s="22"/>
      <c r="J697" s="22"/>
      <c r="K697" s="22"/>
    </row>
    <row r="698">
      <c r="F698" s="61"/>
      <c r="G698" s="22"/>
      <c r="H698" s="22"/>
      <c r="I698" s="22"/>
      <c r="J698" s="22"/>
      <c r="K698" s="22"/>
    </row>
    <row r="699">
      <c r="F699" s="61"/>
      <c r="G699" s="22"/>
      <c r="H699" s="22"/>
      <c r="I699" s="22"/>
      <c r="J699" s="22"/>
      <c r="K699" s="22"/>
    </row>
    <row r="700">
      <c r="F700" s="61"/>
      <c r="G700" s="22"/>
      <c r="H700" s="22"/>
      <c r="I700" s="22"/>
      <c r="J700" s="22"/>
      <c r="K700" s="22"/>
    </row>
    <row r="701">
      <c r="F701" s="61"/>
      <c r="G701" s="22"/>
      <c r="H701" s="22"/>
      <c r="I701" s="22"/>
      <c r="J701" s="22"/>
      <c r="K701" s="22"/>
    </row>
    <row r="702">
      <c r="F702" s="61"/>
      <c r="G702" s="22"/>
      <c r="H702" s="22"/>
      <c r="I702" s="22"/>
      <c r="J702" s="22"/>
      <c r="K702" s="22"/>
    </row>
    <row r="703">
      <c r="F703" s="61"/>
      <c r="G703" s="22"/>
      <c r="H703" s="22"/>
      <c r="I703" s="22"/>
      <c r="J703" s="22"/>
      <c r="K703" s="22"/>
    </row>
    <row r="704">
      <c r="F704" s="61"/>
      <c r="G704" s="22"/>
      <c r="H704" s="22"/>
      <c r="I704" s="22"/>
      <c r="J704" s="22"/>
      <c r="K704" s="22"/>
    </row>
    <row r="705">
      <c r="F705" s="61"/>
      <c r="G705" s="22"/>
      <c r="H705" s="22"/>
      <c r="I705" s="22"/>
      <c r="J705" s="22"/>
      <c r="K705" s="22"/>
    </row>
    <row r="706">
      <c r="F706" s="61"/>
      <c r="G706" s="22"/>
      <c r="H706" s="22"/>
      <c r="I706" s="22"/>
      <c r="J706" s="22"/>
      <c r="K706" s="22"/>
    </row>
    <row r="707">
      <c r="F707" s="61"/>
      <c r="G707" s="22"/>
      <c r="H707" s="22"/>
      <c r="I707" s="22"/>
      <c r="J707" s="22"/>
      <c r="K707" s="22"/>
    </row>
    <row r="708">
      <c r="F708" s="61"/>
      <c r="G708" s="22"/>
      <c r="H708" s="22"/>
      <c r="I708" s="22"/>
      <c r="J708" s="22"/>
      <c r="K708" s="22"/>
    </row>
    <row r="709">
      <c r="F709" s="61"/>
      <c r="G709" s="22"/>
      <c r="H709" s="22"/>
      <c r="I709" s="22"/>
      <c r="J709" s="22"/>
      <c r="K709" s="22"/>
    </row>
    <row r="710">
      <c r="F710" s="61"/>
      <c r="G710" s="22"/>
      <c r="H710" s="22"/>
      <c r="I710" s="22"/>
      <c r="J710" s="22"/>
      <c r="K710" s="22"/>
    </row>
    <row r="711">
      <c r="F711" s="61"/>
      <c r="G711" s="22"/>
      <c r="H711" s="22"/>
      <c r="I711" s="22"/>
      <c r="J711" s="22"/>
      <c r="K711" s="22"/>
    </row>
    <row r="712">
      <c r="F712" s="61"/>
      <c r="G712" s="22"/>
      <c r="H712" s="22"/>
      <c r="I712" s="22"/>
      <c r="J712" s="22"/>
      <c r="K712" s="22"/>
    </row>
    <row r="713">
      <c r="F713" s="61"/>
      <c r="G713" s="22"/>
      <c r="H713" s="22"/>
      <c r="I713" s="22"/>
      <c r="J713" s="22"/>
      <c r="K713" s="22"/>
    </row>
    <row r="714">
      <c r="F714" s="61"/>
      <c r="G714" s="22"/>
      <c r="H714" s="22"/>
      <c r="I714" s="22"/>
      <c r="J714" s="22"/>
      <c r="K714" s="22"/>
    </row>
    <row r="715">
      <c r="F715" s="61"/>
      <c r="G715" s="22"/>
      <c r="H715" s="22"/>
      <c r="I715" s="22"/>
      <c r="J715" s="22"/>
      <c r="K715" s="22"/>
    </row>
    <row r="716">
      <c r="F716" s="61"/>
      <c r="G716" s="22"/>
      <c r="H716" s="22"/>
      <c r="I716" s="22"/>
      <c r="J716" s="22"/>
      <c r="K716" s="22"/>
    </row>
    <row r="717">
      <c r="F717" s="61"/>
      <c r="G717" s="22"/>
      <c r="H717" s="22"/>
      <c r="I717" s="22"/>
      <c r="J717" s="22"/>
      <c r="K717" s="22"/>
    </row>
    <row r="718">
      <c r="F718" s="61"/>
      <c r="G718" s="22"/>
      <c r="H718" s="22"/>
      <c r="I718" s="22"/>
      <c r="J718" s="22"/>
      <c r="K718" s="22"/>
    </row>
    <row r="719">
      <c r="F719" s="61"/>
      <c r="G719" s="22"/>
      <c r="H719" s="22"/>
      <c r="I719" s="22"/>
      <c r="J719" s="22"/>
      <c r="K719" s="22"/>
    </row>
    <row r="720">
      <c r="F720" s="61"/>
      <c r="G720" s="22"/>
      <c r="H720" s="22"/>
      <c r="I720" s="22"/>
      <c r="J720" s="22"/>
      <c r="K720" s="22"/>
    </row>
    <row r="721">
      <c r="F721" s="61"/>
      <c r="G721" s="22"/>
      <c r="H721" s="22"/>
      <c r="I721" s="22"/>
      <c r="J721" s="22"/>
      <c r="K721" s="22"/>
    </row>
    <row r="722">
      <c r="F722" s="61"/>
      <c r="G722" s="22"/>
      <c r="H722" s="22"/>
      <c r="I722" s="22"/>
      <c r="J722" s="22"/>
      <c r="K722" s="22"/>
    </row>
    <row r="723">
      <c r="F723" s="61"/>
      <c r="G723" s="22"/>
      <c r="H723" s="22"/>
      <c r="I723" s="22"/>
      <c r="J723" s="22"/>
      <c r="K723" s="22"/>
    </row>
    <row r="724">
      <c r="F724" s="61"/>
      <c r="G724" s="22"/>
      <c r="H724" s="22"/>
      <c r="I724" s="22"/>
      <c r="J724" s="22"/>
      <c r="K724" s="22"/>
    </row>
    <row r="725">
      <c r="F725" s="61"/>
      <c r="G725" s="22"/>
      <c r="H725" s="22"/>
      <c r="I725" s="22"/>
      <c r="J725" s="22"/>
      <c r="K725" s="22"/>
    </row>
    <row r="726">
      <c r="F726" s="61"/>
      <c r="G726" s="22"/>
      <c r="H726" s="22"/>
      <c r="I726" s="22"/>
      <c r="J726" s="22"/>
      <c r="K726" s="22"/>
    </row>
    <row r="727">
      <c r="F727" s="61"/>
      <c r="G727" s="22"/>
      <c r="H727" s="22"/>
      <c r="I727" s="22"/>
      <c r="J727" s="22"/>
      <c r="K727" s="22"/>
    </row>
    <row r="728">
      <c r="F728" s="61"/>
      <c r="G728" s="22"/>
      <c r="H728" s="22"/>
      <c r="I728" s="22"/>
      <c r="J728" s="22"/>
      <c r="K728" s="22"/>
    </row>
    <row r="729">
      <c r="F729" s="61"/>
      <c r="G729" s="22"/>
      <c r="H729" s="22"/>
      <c r="I729" s="22"/>
      <c r="J729" s="22"/>
      <c r="K729" s="22"/>
    </row>
    <row r="730">
      <c r="F730" s="61"/>
      <c r="G730" s="22"/>
      <c r="H730" s="22"/>
      <c r="I730" s="22"/>
      <c r="J730" s="22"/>
      <c r="K730" s="22"/>
    </row>
    <row r="731">
      <c r="F731" s="61"/>
      <c r="G731" s="22"/>
      <c r="H731" s="22"/>
      <c r="I731" s="22"/>
      <c r="J731" s="22"/>
      <c r="K731" s="22"/>
    </row>
    <row r="732">
      <c r="F732" s="61"/>
      <c r="G732" s="22"/>
      <c r="H732" s="22"/>
      <c r="I732" s="22"/>
      <c r="J732" s="22"/>
      <c r="K732" s="22"/>
    </row>
    <row r="733">
      <c r="F733" s="61"/>
      <c r="G733" s="22"/>
      <c r="H733" s="22"/>
      <c r="I733" s="22"/>
      <c r="J733" s="22"/>
      <c r="K733" s="22"/>
    </row>
    <row r="734">
      <c r="F734" s="61"/>
      <c r="G734" s="22"/>
      <c r="H734" s="22"/>
      <c r="I734" s="22"/>
      <c r="J734" s="22"/>
      <c r="K734" s="22"/>
    </row>
    <row r="735">
      <c r="F735" s="61"/>
      <c r="G735" s="22"/>
      <c r="H735" s="22"/>
      <c r="I735" s="22"/>
      <c r="J735" s="22"/>
      <c r="K735" s="22"/>
    </row>
    <row r="736">
      <c r="F736" s="61"/>
      <c r="G736" s="22"/>
      <c r="H736" s="22"/>
      <c r="I736" s="22"/>
      <c r="J736" s="22"/>
      <c r="K736" s="22"/>
    </row>
    <row r="737">
      <c r="F737" s="61"/>
      <c r="G737" s="22"/>
      <c r="H737" s="22"/>
      <c r="I737" s="22"/>
      <c r="J737" s="22"/>
      <c r="K737" s="22"/>
    </row>
    <row r="738">
      <c r="F738" s="61"/>
      <c r="G738" s="22"/>
      <c r="H738" s="22"/>
      <c r="I738" s="22"/>
      <c r="J738" s="22"/>
      <c r="K738" s="22"/>
    </row>
    <row r="739">
      <c r="F739" s="61"/>
      <c r="G739" s="22"/>
      <c r="H739" s="22"/>
      <c r="I739" s="22"/>
      <c r="J739" s="22"/>
      <c r="K739" s="22"/>
    </row>
    <row r="740">
      <c r="F740" s="61"/>
      <c r="G740" s="22"/>
      <c r="H740" s="22"/>
      <c r="I740" s="22"/>
      <c r="J740" s="22"/>
      <c r="K740" s="22"/>
    </row>
    <row r="741">
      <c r="F741" s="61"/>
      <c r="G741" s="22"/>
      <c r="H741" s="22"/>
      <c r="I741" s="22"/>
      <c r="J741" s="22"/>
      <c r="K741" s="22"/>
    </row>
    <row r="742">
      <c r="F742" s="61"/>
      <c r="G742" s="22"/>
      <c r="H742" s="22"/>
      <c r="I742" s="22"/>
      <c r="J742" s="22"/>
      <c r="K742" s="22"/>
    </row>
    <row r="743">
      <c r="F743" s="61"/>
      <c r="G743" s="22"/>
      <c r="H743" s="22"/>
      <c r="I743" s="22"/>
      <c r="J743" s="22"/>
      <c r="K743" s="22"/>
    </row>
    <row r="744">
      <c r="F744" s="61"/>
      <c r="G744" s="22"/>
      <c r="H744" s="22"/>
      <c r="I744" s="22"/>
      <c r="J744" s="22"/>
      <c r="K744" s="22"/>
    </row>
    <row r="745">
      <c r="F745" s="61"/>
      <c r="G745" s="22"/>
      <c r="H745" s="22"/>
      <c r="I745" s="22"/>
      <c r="J745" s="22"/>
      <c r="K745" s="22"/>
    </row>
    <row r="746">
      <c r="F746" s="61"/>
      <c r="G746" s="22"/>
      <c r="H746" s="22"/>
      <c r="I746" s="22"/>
      <c r="J746" s="22"/>
      <c r="K746" s="22"/>
    </row>
    <row r="747">
      <c r="F747" s="61"/>
      <c r="G747" s="22"/>
      <c r="H747" s="22"/>
      <c r="I747" s="22"/>
      <c r="J747" s="22"/>
      <c r="K747" s="22"/>
    </row>
    <row r="748">
      <c r="F748" s="61"/>
      <c r="G748" s="22"/>
      <c r="H748" s="22"/>
      <c r="I748" s="22"/>
      <c r="J748" s="22"/>
      <c r="K748" s="22"/>
    </row>
    <row r="749">
      <c r="F749" s="61"/>
      <c r="G749" s="22"/>
      <c r="H749" s="22"/>
      <c r="I749" s="22"/>
      <c r="J749" s="22"/>
      <c r="K749" s="22"/>
    </row>
    <row r="750">
      <c r="F750" s="61"/>
      <c r="G750" s="22"/>
      <c r="H750" s="22"/>
      <c r="I750" s="22"/>
      <c r="J750" s="22"/>
      <c r="K750" s="22"/>
    </row>
    <row r="751">
      <c r="F751" s="61"/>
      <c r="G751" s="22"/>
      <c r="H751" s="22"/>
      <c r="I751" s="22"/>
      <c r="J751" s="22"/>
      <c r="K751" s="22"/>
    </row>
    <row r="752">
      <c r="F752" s="61"/>
      <c r="G752" s="22"/>
      <c r="H752" s="22"/>
      <c r="I752" s="22"/>
      <c r="J752" s="22"/>
      <c r="K752" s="22"/>
    </row>
    <row r="753">
      <c r="F753" s="61"/>
      <c r="G753" s="22"/>
      <c r="H753" s="22"/>
      <c r="I753" s="22"/>
      <c r="J753" s="22"/>
      <c r="K753" s="22"/>
    </row>
    <row r="754">
      <c r="F754" s="61"/>
      <c r="G754" s="22"/>
      <c r="H754" s="22"/>
      <c r="I754" s="22"/>
      <c r="J754" s="22"/>
      <c r="K754" s="22"/>
    </row>
    <row r="755">
      <c r="F755" s="61"/>
      <c r="G755" s="22"/>
      <c r="H755" s="22"/>
      <c r="I755" s="22"/>
      <c r="J755" s="22"/>
      <c r="K755" s="22"/>
    </row>
    <row r="756">
      <c r="F756" s="61"/>
      <c r="G756" s="22"/>
      <c r="H756" s="22"/>
      <c r="I756" s="22"/>
      <c r="J756" s="22"/>
      <c r="K756" s="22"/>
    </row>
    <row r="757">
      <c r="F757" s="61"/>
      <c r="G757" s="22"/>
      <c r="H757" s="22"/>
      <c r="I757" s="22"/>
      <c r="J757" s="22"/>
      <c r="K757" s="22"/>
    </row>
    <row r="758">
      <c r="F758" s="61"/>
      <c r="G758" s="22"/>
      <c r="H758" s="22"/>
      <c r="I758" s="22"/>
      <c r="J758" s="22"/>
      <c r="K758" s="22"/>
    </row>
    <row r="759">
      <c r="F759" s="61"/>
      <c r="G759" s="22"/>
      <c r="H759" s="22"/>
      <c r="I759" s="22"/>
      <c r="J759" s="22"/>
      <c r="K759" s="22"/>
    </row>
    <row r="760">
      <c r="F760" s="61"/>
      <c r="G760" s="22"/>
      <c r="H760" s="22"/>
      <c r="I760" s="22"/>
      <c r="J760" s="22"/>
      <c r="K760" s="22"/>
    </row>
    <row r="761">
      <c r="F761" s="61"/>
      <c r="G761" s="22"/>
      <c r="H761" s="22"/>
      <c r="I761" s="22"/>
      <c r="J761" s="22"/>
      <c r="K761" s="22"/>
    </row>
    <row r="762">
      <c r="F762" s="61"/>
      <c r="G762" s="22"/>
      <c r="H762" s="22"/>
      <c r="I762" s="22"/>
      <c r="J762" s="22"/>
      <c r="K762" s="22"/>
    </row>
    <row r="763">
      <c r="F763" s="61"/>
      <c r="G763" s="22"/>
      <c r="H763" s="22"/>
      <c r="I763" s="22"/>
      <c r="J763" s="22"/>
      <c r="K763" s="22"/>
    </row>
    <row r="764">
      <c r="F764" s="61"/>
      <c r="G764" s="22"/>
      <c r="H764" s="22"/>
      <c r="I764" s="22"/>
      <c r="J764" s="22"/>
      <c r="K764" s="22"/>
    </row>
    <row r="765">
      <c r="F765" s="61"/>
      <c r="G765" s="22"/>
      <c r="H765" s="22"/>
      <c r="I765" s="22"/>
      <c r="J765" s="22"/>
      <c r="K765" s="22"/>
    </row>
    <row r="766">
      <c r="F766" s="61"/>
      <c r="G766" s="22"/>
      <c r="H766" s="22"/>
      <c r="I766" s="22"/>
      <c r="J766" s="22"/>
      <c r="K766" s="22"/>
    </row>
    <row r="767">
      <c r="F767" s="61"/>
      <c r="G767" s="22"/>
      <c r="H767" s="22"/>
      <c r="I767" s="22"/>
      <c r="J767" s="22"/>
      <c r="K767" s="22"/>
    </row>
    <row r="768">
      <c r="F768" s="61"/>
      <c r="G768" s="22"/>
      <c r="H768" s="22"/>
      <c r="I768" s="22"/>
      <c r="J768" s="22"/>
      <c r="K768" s="22"/>
    </row>
    <row r="769">
      <c r="F769" s="61"/>
      <c r="G769" s="22"/>
      <c r="H769" s="22"/>
      <c r="I769" s="22"/>
      <c r="J769" s="22"/>
      <c r="K769" s="22"/>
    </row>
    <row r="770">
      <c r="F770" s="61"/>
      <c r="G770" s="22"/>
      <c r="H770" s="22"/>
      <c r="I770" s="22"/>
      <c r="J770" s="22"/>
      <c r="K770" s="22"/>
    </row>
    <row r="771">
      <c r="F771" s="61"/>
      <c r="G771" s="22"/>
      <c r="H771" s="22"/>
      <c r="I771" s="22"/>
      <c r="J771" s="22"/>
      <c r="K771" s="22"/>
    </row>
    <row r="772">
      <c r="F772" s="61"/>
      <c r="G772" s="22"/>
      <c r="H772" s="22"/>
      <c r="I772" s="22"/>
      <c r="J772" s="22"/>
      <c r="K772" s="22"/>
    </row>
    <row r="773">
      <c r="F773" s="61"/>
      <c r="G773" s="22"/>
      <c r="H773" s="22"/>
      <c r="I773" s="22"/>
      <c r="J773" s="22"/>
      <c r="K773" s="22"/>
    </row>
    <row r="774">
      <c r="F774" s="61"/>
      <c r="G774" s="22"/>
      <c r="H774" s="22"/>
      <c r="I774" s="22"/>
      <c r="J774" s="22"/>
      <c r="K774" s="22"/>
    </row>
    <row r="775">
      <c r="F775" s="61"/>
      <c r="G775" s="22"/>
      <c r="H775" s="22"/>
      <c r="I775" s="22"/>
      <c r="J775" s="22"/>
      <c r="K775" s="22"/>
    </row>
    <row r="776">
      <c r="F776" s="61"/>
      <c r="G776" s="22"/>
      <c r="H776" s="22"/>
      <c r="I776" s="22"/>
      <c r="J776" s="22"/>
      <c r="K776" s="22"/>
    </row>
    <row r="777">
      <c r="F777" s="61"/>
      <c r="G777" s="22"/>
      <c r="H777" s="22"/>
      <c r="I777" s="22"/>
      <c r="J777" s="22"/>
      <c r="K777" s="22"/>
    </row>
    <row r="778">
      <c r="F778" s="61"/>
      <c r="G778" s="22"/>
      <c r="H778" s="22"/>
      <c r="I778" s="22"/>
      <c r="J778" s="22"/>
      <c r="K778" s="22"/>
    </row>
    <row r="779">
      <c r="F779" s="61"/>
      <c r="G779" s="22"/>
      <c r="H779" s="22"/>
      <c r="I779" s="22"/>
      <c r="J779" s="22"/>
      <c r="K779" s="22"/>
    </row>
    <row r="780">
      <c r="F780" s="61"/>
      <c r="G780" s="22"/>
      <c r="H780" s="22"/>
      <c r="I780" s="22"/>
      <c r="J780" s="22"/>
      <c r="K780" s="22"/>
    </row>
    <row r="781">
      <c r="F781" s="61"/>
      <c r="G781" s="22"/>
      <c r="H781" s="22"/>
      <c r="I781" s="22"/>
      <c r="J781" s="22"/>
      <c r="K781" s="22"/>
    </row>
    <row r="782">
      <c r="F782" s="61"/>
      <c r="G782" s="22"/>
      <c r="H782" s="22"/>
      <c r="I782" s="22"/>
      <c r="J782" s="22"/>
      <c r="K782" s="22"/>
    </row>
    <row r="783">
      <c r="F783" s="61"/>
      <c r="G783" s="22"/>
      <c r="H783" s="22"/>
      <c r="I783" s="22"/>
      <c r="J783" s="22"/>
      <c r="K783" s="22"/>
    </row>
    <row r="784">
      <c r="F784" s="61"/>
      <c r="G784" s="22"/>
      <c r="H784" s="22"/>
      <c r="I784" s="22"/>
      <c r="J784" s="22"/>
      <c r="K784" s="22"/>
    </row>
    <row r="785">
      <c r="F785" s="61"/>
      <c r="G785" s="22"/>
      <c r="H785" s="22"/>
      <c r="I785" s="22"/>
      <c r="J785" s="22"/>
      <c r="K785" s="22"/>
    </row>
    <row r="786">
      <c r="F786" s="61"/>
      <c r="G786" s="22"/>
      <c r="H786" s="22"/>
      <c r="I786" s="22"/>
      <c r="J786" s="22"/>
      <c r="K786" s="22"/>
    </row>
    <row r="787">
      <c r="F787" s="61"/>
      <c r="G787" s="22"/>
      <c r="H787" s="22"/>
      <c r="I787" s="22"/>
      <c r="J787" s="22"/>
      <c r="K787" s="22"/>
    </row>
    <row r="788">
      <c r="F788" s="61"/>
      <c r="G788" s="22"/>
      <c r="H788" s="22"/>
      <c r="I788" s="22"/>
      <c r="J788" s="22"/>
      <c r="K788" s="22"/>
    </row>
    <row r="789">
      <c r="F789" s="61"/>
      <c r="G789" s="22"/>
      <c r="H789" s="22"/>
      <c r="I789" s="22"/>
      <c r="J789" s="22"/>
      <c r="K789" s="22"/>
    </row>
    <row r="790">
      <c r="F790" s="61"/>
      <c r="G790" s="22"/>
      <c r="H790" s="22"/>
      <c r="I790" s="22"/>
      <c r="J790" s="22"/>
      <c r="K790" s="22"/>
    </row>
    <row r="791">
      <c r="F791" s="61"/>
      <c r="G791" s="22"/>
      <c r="H791" s="22"/>
      <c r="I791" s="22"/>
      <c r="J791" s="22"/>
      <c r="K791" s="22"/>
    </row>
    <row r="792">
      <c r="F792" s="61"/>
      <c r="G792" s="22"/>
      <c r="H792" s="22"/>
      <c r="I792" s="22"/>
      <c r="J792" s="22"/>
      <c r="K792" s="22"/>
    </row>
    <row r="793">
      <c r="F793" s="61"/>
      <c r="G793" s="22"/>
      <c r="H793" s="22"/>
      <c r="I793" s="22"/>
      <c r="J793" s="22"/>
      <c r="K793" s="22"/>
    </row>
    <row r="794">
      <c r="F794" s="61"/>
      <c r="G794" s="22"/>
      <c r="H794" s="22"/>
      <c r="I794" s="22"/>
      <c r="J794" s="22"/>
      <c r="K794" s="22"/>
    </row>
    <row r="795">
      <c r="F795" s="61"/>
      <c r="G795" s="22"/>
      <c r="H795" s="22"/>
      <c r="I795" s="22"/>
      <c r="J795" s="22"/>
      <c r="K795" s="22"/>
    </row>
    <row r="796">
      <c r="F796" s="61"/>
      <c r="G796" s="22"/>
      <c r="H796" s="22"/>
      <c r="I796" s="22"/>
      <c r="J796" s="22"/>
      <c r="K796" s="22"/>
    </row>
    <row r="797">
      <c r="F797" s="61"/>
      <c r="G797" s="22"/>
      <c r="H797" s="22"/>
      <c r="I797" s="22"/>
      <c r="J797" s="22"/>
      <c r="K797" s="22"/>
    </row>
    <row r="798">
      <c r="F798" s="61"/>
      <c r="G798" s="22"/>
      <c r="H798" s="22"/>
      <c r="I798" s="22"/>
      <c r="J798" s="22"/>
      <c r="K798" s="22"/>
    </row>
    <row r="799">
      <c r="F799" s="61"/>
      <c r="G799" s="22"/>
      <c r="H799" s="22"/>
      <c r="I799" s="22"/>
      <c r="J799" s="22"/>
      <c r="K799" s="22"/>
    </row>
    <row r="800">
      <c r="F800" s="61"/>
      <c r="G800" s="22"/>
      <c r="H800" s="22"/>
      <c r="I800" s="22"/>
      <c r="J800" s="22"/>
      <c r="K800" s="22"/>
    </row>
    <row r="801">
      <c r="F801" s="61"/>
      <c r="G801" s="22"/>
      <c r="H801" s="22"/>
      <c r="I801" s="22"/>
      <c r="J801" s="22"/>
      <c r="K801" s="22"/>
    </row>
    <row r="802">
      <c r="F802" s="61"/>
      <c r="G802" s="22"/>
      <c r="H802" s="22"/>
      <c r="I802" s="22"/>
      <c r="J802" s="22"/>
      <c r="K802" s="22"/>
    </row>
    <row r="803">
      <c r="F803" s="61"/>
      <c r="G803" s="22"/>
      <c r="H803" s="22"/>
      <c r="I803" s="22"/>
      <c r="J803" s="22"/>
      <c r="K803" s="22"/>
    </row>
    <row r="804">
      <c r="F804" s="61"/>
      <c r="G804" s="22"/>
      <c r="H804" s="22"/>
      <c r="I804" s="22"/>
      <c r="J804" s="22"/>
      <c r="K804" s="22"/>
    </row>
    <row r="805">
      <c r="F805" s="61"/>
      <c r="G805" s="22"/>
      <c r="H805" s="22"/>
      <c r="I805" s="22"/>
      <c r="J805" s="22"/>
      <c r="K805" s="22"/>
    </row>
    <row r="806">
      <c r="F806" s="61"/>
      <c r="G806" s="22"/>
      <c r="H806" s="22"/>
      <c r="I806" s="22"/>
      <c r="J806" s="22"/>
      <c r="K806" s="22"/>
    </row>
    <row r="807">
      <c r="F807" s="61"/>
      <c r="G807" s="22"/>
      <c r="H807" s="22"/>
      <c r="I807" s="22"/>
      <c r="J807" s="22"/>
      <c r="K807" s="22"/>
    </row>
    <row r="808">
      <c r="F808" s="61"/>
      <c r="G808" s="22"/>
      <c r="H808" s="22"/>
      <c r="I808" s="22"/>
      <c r="J808" s="22"/>
      <c r="K808" s="22"/>
    </row>
    <row r="809">
      <c r="F809" s="61"/>
      <c r="G809" s="22"/>
      <c r="H809" s="22"/>
      <c r="I809" s="22"/>
      <c r="J809" s="22"/>
      <c r="K809" s="22"/>
    </row>
    <row r="810">
      <c r="F810" s="61"/>
      <c r="G810" s="22"/>
      <c r="H810" s="22"/>
      <c r="I810" s="22"/>
      <c r="J810" s="22"/>
      <c r="K810" s="22"/>
    </row>
    <row r="811">
      <c r="F811" s="61"/>
      <c r="G811" s="22"/>
      <c r="H811" s="22"/>
      <c r="I811" s="22"/>
      <c r="J811" s="22"/>
      <c r="K811" s="22"/>
    </row>
    <row r="812">
      <c r="F812" s="61"/>
      <c r="G812" s="22"/>
      <c r="H812" s="22"/>
      <c r="I812" s="22"/>
      <c r="J812" s="22"/>
      <c r="K812" s="22"/>
    </row>
    <row r="813">
      <c r="F813" s="61"/>
      <c r="G813" s="22"/>
      <c r="H813" s="22"/>
      <c r="I813" s="22"/>
      <c r="J813" s="22"/>
      <c r="K813" s="22"/>
    </row>
    <row r="814">
      <c r="F814" s="61"/>
      <c r="G814" s="22"/>
      <c r="H814" s="22"/>
      <c r="I814" s="22"/>
      <c r="J814" s="22"/>
      <c r="K814" s="22"/>
    </row>
    <row r="815">
      <c r="F815" s="61"/>
      <c r="G815" s="22"/>
      <c r="H815" s="22"/>
      <c r="I815" s="22"/>
      <c r="J815" s="22"/>
      <c r="K815" s="22"/>
    </row>
    <row r="816">
      <c r="F816" s="61"/>
      <c r="G816" s="22"/>
      <c r="H816" s="22"/>
      <c r="I816" s="22"/>
      <c r="J816" s="22"/>
      <c r="K816" s="22"/>
    </row>
    <row r="817">
      <c r="F817" s="61"/>
      <c r="G817" s="22"/>
      <c r="H817" s="22"/>
      <c r="I817" s="22"/>
      <c r="J817" s="22"/>
      <c r="K817" s="22"/>
    </row>
    <row r="818">
      <c r="F818" s="61"/>
      <c r="G818" s="22"/>
      <c r="H818" s="22"/>
      <c r="I818" s="22"/>
      <c r="J818" s="22"/>
      <c r="K818" s="22"/>
    </row>
    <row r="819">
      <c r="F819" s="61"/>
      <c r="G819" s="22"/>
      <c r="H819" s="22"/>
      <c r="I819" s="22"/>
      <c r="J819" s="22"/>
      <c r="K819" s="22"/>
    </row>
    <row r="820">
      <c r="F820" s="61"/>
      <c r="G820" s="22"/>
      <c r="H820" s="22"/>
      <c r="I820" s="22"/>
      <c r="J820" s="22"/>
      <c r="K820" s="22"/>
    </row>
    <row r="821">
      <c r="F821" s="61"/>
      <c r="G821" s="22"/>
      <c r="H821" s="22"/>
      <c r="I821" s="22"/>
      <c r="J821" s="22"/>
      <c r="K821" s="22"/>
    </row>
    <row r="822">
      <c r="F822" s="61"/>
      <c r="G822" s="22"/>
      <c r="H822" s="22"/>
      <c r="I822" s="22"/>
      <c r="J822" s="22"/>
      <c r="K822" s="22"/>
    </row>
    <row r="823">
      <c r="F823" s="61"/>
      <c r="G823" s="22"/>
      <c r="H823" s="22"/>
      <c r="I823" s="22"/>
      <c r="J823" s="22"/>
      <c r="K823" s="22"/>
    </row>
    <row r="824">
      <c r="F824" s="61"/>
      <c r="G824" s="22"/>
      <c r="H824" s="22"/>
      <c r="I824" s="22"/>
      <c r="J824" s="22"/>
      <c r="K824" s="22"/>
    </row>
    <row r="825">
      <c r="F825" s="61"/>
      <c r="G825" s="22"/>
      <c r="H825" s="22"/>
      <c r="I825" s="22"/>
      <c r="J825" s="22"/>
      <c r="K825" s="22"/>
    </row>
    <row r="826">
      <c r="F826" s="61"/>
      <c r="G826" s="22"/>
      <c r="H826" s="22"/>
      <c r="I826" s="22"/>
      <c r="J826" s="22"/>
      <c r="K826" s="22"/>
    </row>
    <row r="827">
      <c r="F827" s="61"/>
      <c r="G827" s="22"/>
      <c r="H827" s="22"/>
      <c r="I827" s="22"/>
      <c r="J827" s="22"/>
      <c r="K827" s="22"/>
    </row>
    <row r="828">
      <c r="F828" s="61"/>
      <c r="G828" s="22"/>
      <c r="H828" s="22"/>
      <c r="I828" s="22"/>
      <c r="J828" s="22"/>
      <c r="K828" s="22"/>
    </row>
    <row r="829">
      <c r="F829" s="61"/>
      <c r="G829" s="22"/>
      <c r="H829" s="22"/>
      <c r="I829" s="22"/>
      <c r="J829" s="22"/>
      <c r="K829" s="22"/>
    </row>
    <row r="830">
      <c r="F830" s="61"/>
      <c r="G830" s="22"/>
      <c r="H830" s="22"/>
      <c r="I830" s="22"/>
      <c r="J830" s="22"/>
      <c r="K830" s="22"/>
    </row>
    <row r="831">
      <c r="F831" s="61"/>
      <c r="G831" s="22"/>
      <c r="H831" s="22"/>
      <c r="I831" s="22"/>
      <c r="J831" s="22"/>
      <c r="K831" s="22"/>
    </row>
    <row r="832">
      <c r="F832" s="61"/>
      <c r="G832" s="22"/>
      <c r="H832" s="22"/>
      <c r="I832" s="22"/>
      <c r="J832" s="22"/>
      <c r="K832" s="22"/>
    </row>
    <row r="833">
      <c r="F833" s="61"/>
      <c r="G833" s="22"/>
      <c r="H833" s="22"/>
      <c r="I833" s="22"/>
      <c r="J833" s="22"/>
      <c r="K833" s="22"/>
    </row>
    <row r="834">
      <c r="F834" s="61"/>
      <c r="G834" s="22"/>
      <c r="H834" s="22"/>
      <c r="I834" s="22"/>
      <c r="J834" s="22"/>
      <c r="K834" s="22"/>
    </row>
    <row r="835">
      <c r="F835" s="61"/>
      <c r="G835" s="22"/>
      <c r="H835" s="22"/>
      <c r="I835" s="22"/>
      <c r="J835" s="22"/>
      <c r="K835" s="22"/>
    </row>
    <row r="836">
      <c r="F836" s="61"/>
      <c r="G836" s="22"/>
      <c r="H836" s="22"/>
      <c r="I836" s="22"/>
      <c r="J836" s="22"/>
      <c r="K836" s="22"/>
    </row>
    <row r="837">
      <c r="F837" s="61"/>
      <c r="G837" s="22"/>
      <c r="H837" s="22"/>
      <c r="I837" s="22"/>
      <c r="J837" s="22"/>
      <c r="K837" s="22"/>
    </row>
    <row r="838">
      <c r="F838" s="61"/>
      <c r="G838" s="22"/>
      <c r="H838" s="22"/>
      <c r="I838" s="22"/>
      <c r="J838" s="22"/>
      <c r="K838" s="22"/>
    </row>
    <row r="839">
      <c r="F839" s="61"/>
      <c r="G839" s="22"/>
      <c r="H839" s="22"/>
      <c r="I839" s="22"/>
      <c r="J839" s="22"/>
      <c r="K839" s="22"/>
    </row>
    <row r="840">
      <c r="F840" s="61"/>
      <c r="G840" s="22"/>
      <c r="H840" s="22"/>
      <c r="I840" s="22"/>
      <c r="J840" s="22"/>
      <c r="K840" s="22"/>
    </row>
    <row r="841">
      <c r="F841" s="61"/>
      <c r="G841" s="22"/>
      <c r="H841" s="22"/>
      <c r="I841" s="22"/>
      <c r="J841" s="22"/>
      <c r="K841" s="22"/>
    </row>
    <row r="842">
      <c r="F842" s="61"/>
      <c r="G842" s="22"/>
      <c r="H842" s="22"/>
      <c r="I842" s="22"/>
      <c r="J842" s="22"/>
      <c r="K842" s="22"/>
    </row>
    <row r="843">
      <c r="F843" s="61"/>
      <c r="G843" s="22"/>
      <c r="H843" s="22"/>
      <c r="I843" s="22"/>
      <c r="J843" s="22"/>
      <c r="K843" s="22"/>
    </row>
    <row r="844">
      <c r="F844" s="61"/>
      <c r="G844" s="22"/>
      <c r="H844" s="22"/>
      <c r="I844" s="22"/>
      <c r="J844" s="22"/>
      <c r="K844" s="22"/>
    </row>
    <row r="845">
      <c r="F845" s="61"/>
      <c r="G845" s="22"/>
      <c r="H845" s="22"/>
      <c r="I845" s="22"/>
      <c r="J845" s="22"/>
      <c r="K845" s="22"/>
    </row>
    <row r="846">
      <c r="F846" s="61"/>
      <c r="G846" s="22"/>
      <c r="H846" s="22"/>
      <c r="I846" s="22"/>
      <c r="J846" s="22"/>
      <c r="K846" s="22"/>
    </row>
    <row r="847">
      <c r="F847" s="61"/>
      <c r="G847" s="22"/>
      <c r="H847" s="22"/>
      <c r="I847" s="22"/>
      <c r="J847" s="22"/>
      <c r="K847" s="22"/>
    </row>
    <row r="848">
      <c r="F848" s="61"/>
      <c r="G848" s="22"/>
      <c r="H848" s="22"/>
      <c r="I848" s="22"/>
      <c r="J848" s="22"/>
      <c r="K848" s="22"/>
    </row>
    <row r="849">
      <c r="F849" s="61"/>
      <c r="G849" s="22"/>
      <c r="H849" s="22"/>
      <c r="I849" s="22"/>
      <c r="J849" s="22"/>
      <c r="K849" s="22"/>
    </row>
    <row r="850">
      <c r="F850" s="61"/>
      <c r="G850" s="22"/>
      <c r="H850" s="22"/>
      <c r="I850" s="22"/>
      <c r="J850" s="22"/>
      <c r="K850" s="22"/>
    </row>
    <row r="851">
      <c r="F851" s="61"/>
      <c r="G851" s="22"/>
      <c r="H851" s="22"/>
      <c r="I851" s="22"/>
      <c r="J851" s="22"/>
      <c r="K851" s="22"/>
    </row>
    <row r="852">
      <c r="F852" s="61"/>
      <c r="G852" s="22"/>
      <c r="H852" s="22"/>
      <c r="I852" s="22"/>
      <c r="J852" s="22"/>
      <c r="K852" s="22"/>
    </row>
    <row r="853">
      <c r="F853" s="61"/>
      <c r="G853" s="22"/>
      <c r="H853" s="22"/>
      <c r="I853" s="22"/>
      <c r="J853" s="22"/>
      <c r="K853" s="22"/>
    </row>
    <row r="854">
      <c r="F854" s="61"/>
      <c r="G854" s="22"/>
      <c r="H854" s="22"/>
      <c r="I854" s="22"/>
      <c r="J854" s="22"/>
      <c r="K854" s="22"/>
    </row>
    <row r="855">
      <c r="F855" s="61"/>
      <c r="G855" s="22"/>
      <c r="H855" s="22"/>
      <c r="I855" s="22"/>
      <c r="J855" s="22"/>
      <c r="K855" s="22"/>
    </row>
    <row r="856">
      <c r="F856" s="61"/>
      <c r="G856" s="22"/>
      <c r="H856" s="22"/>
      <c r="I856" s="22"/>
      <c r="J856" s="22"/>
      <c r="K856" s="22"/>
    </row>
    <row r="857">
      <c r="F857" s="61"/>
      <c r="G857" s="22"/>
      <c r="H857" s="22"/>
      <c r="I857" s="22"/>
      <c r="J857" s="22"/>
      <c r="K857" s="22"/>
    </row>
    <row r="858">
      <c r="F858" s="61"/>
      <c r="G858" s="22"/>
      <c r="H858" s="22"/>
      <c r="I858" s="22"/>
      <c r="J858" s="22"/>
      <c r="K858" s="22"/>
    </row>
    <row r="859">
      <c r="F859" s="61"/>
      <c r="G859" s="22"/>
      <c r="H859" s="22"/>
      <c r="I859" s="22"/>
      <c r="J859" s="22"/>
      <c r="K859" s="22"/>
    </row>
    <row r="860">
      <c r="F860" s="61"/>
      <c r="G860" s="22"/>
      <c r="H860" s="22"/>
      <c r="I860" s="22"/>
      <c r="J860" s="22"/>
      <c r="K860" s="22"/>
    </row>
    <row r="861">
      <c r="F861" s="61"/>
      <c r="G861" s="22"/>
      <c r="H861" s="22"/>
      <c r="I861" s="22"/>
      <c r="J861" s="22"/>
      <c r="K861" s="22"/>
    </row>
    <row r="862">
      <c r="F862" s="61"/>
      <c r="G862" s="22"/>
      <c r="H862" s="22"/>
      <c r="I862" s="22"/>
      <c r="J862" s="22"/>
      <c r="K862" s="22"/>
    </row>
    <row r="863">
      <c r="F863" s="61"/>
      <c r="G863" s="22"/>
      <c r="H863" s="22"/>
      <c r="I863" s="22"/>
      <c r="J863" s="22"/>
      <c r="K863" s="22"/>
    </row>
    <row r="864">
      <c r="F864" s="61"/>
      <c r="G864" s="22"/>
      <c r="H864" s="22"/>
      <c r="I864" s="22"/>
      <c r="J864" s="22"/>
      <c r="K864" s="22"/>
    </row>
    <row r="865">
      <c r="F865" s="61"/>
      <c r="G865" s="22"/>
      <c r="H865" s="22"/>
      <c r="I865" s="22"/>
      <c r="J865" s="22"/>
      <c r="K865" s="22"/>
    </row>
    <row r="866">
      <c r="F866" s="61"/>
      <c r="G866" s="22"/>
      <c r="H866" s="22"/>
      <c r="I866" s="22"/>
      <c r="J866" s="22"/>
      <c r="K866" s="22"/>
    </row>
    <row r="867">
      <c r="F867" s="61"/>
      <c r="G867" s="22"/>
      <c r="H867" s="22"/>
      <c r="I867" s="22"/>
      <c r="J867" s="22"/>
      <c r="K867" s="22"/>
    </row>
    <row r="868">
      <c r="F868" s="61"/>
      <c r="G868" s="22"/>
      <c r="H868" s="22"/>
      <c r="I868" s="22"/>
      <c r="J868" s="22"/>
      <c r="K868" s="22"/>
    </row>
    <row r="869">
      <c r="F869" s="61"/>
      <c r="G869" s="22"/>
      <c r="H869" s="22"/>
      <c r="I869" s="22"/>
      <c r="J869" s="22"/>
      <c r="K869" s="22"/>
    </row>
    <row r="870">
      <c r="F870" s="61"/>
      <c r="G870" s="22"/>
      <c r="H870" s="22"/>
      <c r="I870" s="22"/>
      <c r="J870" s="22"/>
      <c r="K870" s="22"/>
    </row>
    <row r="871">
      <c r="F871" s="61"/>
      <c r="G871" s="22"/>
      <c r="H871" s="22"/>
      <c r="I871" s="22"/>
      <c r="J871" s="22"/>
      <c r="K871" s="22"/>
    </row>
    <row r="872">
      <c r="F872" s="61"/>
      <c r="G872" s="22"/>
      <c r="H872" s="22"/>
      <c r="I872" s="22"/>
      <c r="J872" s="22"/>
      <c r="K872" s="22"/>
    </row>
    <row r="873">
      <c r="F873" s="61"/>
      <c r="G873" s="22"/>
      <c r="H873" s="22"/>
      <c r="I873" s="22"/>
      <c r="J873" s="22"/>
      <c r="K873" s="22"/>
    </row>
    <row r="874">
      <c r="F874" s="61"/>
      <c r="G874" s="22"/>
      <c r="H874" s="22"/>
      <c r="I874" s="22"/>
      <c r="J874" s="22"/>
      <c r="K874" s="22"/>
    </row>
    <row r="875">
      <c r="F875" s="61"/>
      <c r="G875" s="22"/>
      <c r="H875" s="22"/>
      <c r="I875" s="22"/>
      <c r="J875" s="22"/>
      <c r="K875" s="22"/>
    </row>
    <row r="876">
      <c r="F876" s="61"/>
      <c r="G876" s="22"/>
      <c r="H876" s="22"/>
      <c r="I876" s="22"/>
      <c r="J876" s="22"/>
      <c r="K876" s="22"/>
    </row>
    <row r="877">
      <c r="F877" s="61"/>
      <c r="G877" s="22"/>
      <c r="H877" s="22"/>
      <c r="I877" s="22"/>
      <c r="J877" s="22"/>
      <c r="K877" s="22"/>
    </row>
    <row r="878">
      <c r="F878" s="61"/>
      <c r="G878" s="22"/>
      <c r="H878" s="22"/>
      <c r="I878" s="22"/>
      <c r="J878" s="22"/>
      <c r="K878" s="22"/>
    </row>
    <row r="879">
      <c r="F879" s="61"/>
      <c r="G879" s="22"/>
      <c r="H879" s="22"/>
      <c r="I879" s="22"/>
      <c r="J879" s="22"/>
      <c r="K879" s="22"/>
    </row>
    <row r="880">
      <c r="F880" s="61"/>
      <c r="G880" s="22"/>
      <c r="H880" s="22"/>
      <c r="I880" s="22"/>
      <c r="J880" s="22"/>
      <c r="K880" s="22"/>
    </row>
    <row r="881">
      <c r="F881" s="61"/>
      <c r="G881" s="22"/>
      <c r="H881" s="22"/>
      <c r="I881" s="22"/>
      <c r="J881" s="22"/>
      <c r="K881" s="22"/>
    </row>
    <row r="882">
      <c r="F882" s="61"/>
      <c r="G882" s="22"/>
      <c r="H882" s="22"/>
      <c r="I882" s="22"/>
      <c r="J882" s="22"/>
      <c r="K882" s="22"/>
    </row>
    <row r="883">
      <c r="F883" s="61"/>
      <c r="G883" s="22"/>
      <c r="H883" s="22"/>
      <c r="I883" s="22"/>
      <c r="J883" s="22"/>
      <c r="K883" s="22"/>
    </row>
    <row r="884">
      <c r="F884" s="61"/>
      <c r="G884" s="22"/>
      <c r="H884" s="22"/>
      <c r="I884" s="22"/>
      <c r="J884" s="22"/>
      <c r="K884" s="22"/>
    </row>
    <row r="885">
      <c r="F885" s="61"/>
      <c r="G885" s="22"/>
      <c r="H885" s="22"/>
      <c r="I885" s="22"/>
      <c r="J885" s="22"/>
      <c r="K885" s="22"/>
    </row>
    <row r="886">
      <c r="F886" s="61"/>
      <c r="G886" s="22"/>
      <c r="H886" s="22"/>
      <c r="I886" s="22"/>
      <c r="J886" s="22"/>
      <c r="K886" s="22"/>
    </row>
    <row r="887">
      <c r="F887" s="61"/>
      <c r="G887" s="22"/>
      <c r="H887" s="22"/>
      <c r="I887" s="22"/>
      <c r="J887" s="22"/>
      <c r="K887" s="22"/>
    </row>
    <row r="888">
      <c r="F888" s="61"/>
      <c r="G888" s="22"/>
      <c r="H888" s="22"/>
      <c r="I888" s="22"/>
      <c r="J888" s="22"/>
      <c r="K888" s="22"/>
    </row>
    <row r="889">
      <c r="F889" s="61"/>
      <c r="G889" s="22"/>
      <c r="H889" s="22"/>
      <c r="I889" s="22"/>
      <c r="J889" s="22"/>
      <c r="K889" s="22"/>
    </row>
    <row r="890">
      <c r="F890" s="61"/>
      <c r="G890" s="22"/>
      <c r="H890" s="22"/>
      <c r="I890" s="22"/>
      <c r="J890" s="22"/>
      <c r="K890" s="22"/>
    </row>
    <row r="891">
      <c r="F891" s="61"/>
      <c r="G891" s="22"/>
      <c r="H891" s="22"/>
      <c r="I891" s="22"/>
      <c r="J891" s="22"/>
      <c r="K891" s="22"/>
    </row>
    <row r="892">
      <c r="F892" s="61"/>
      <c r="G892" s="22"/>
      <c r="H892" s="22"/>
      <c r="I892" s="22"/>
      <c r="J892" s="22"/>
      <c r="K892" s="22"/>
    </row>
    <row r="893">
      <c r="F893" s="61"/>
      <c r="G893" s="22"/>
      <c r="H893" s="22"/>
      <c r="I893" s="22"/>
      <c r="J893" s="22"/>
      <c r="K893" s="22"/>
    </row>
    <row r="894">
      <c r="F894" s="61"/>
      <c r="G894" s="22"/>
      <c r="H894" s="22"/>
      <c r="I894" s="22"/>
      <c r="J894" s="22"/>
      <c r="K894" s="22"/>
    </row>
    <row r="895">
      <c r="F895" s="61"/>
      <c r="G895" s="22"/>
      <c r="H895" s="22"/>
      <c r="I895" s="22"/>
      <c r="J895" s="22"/>
      <c r="K895" s="22"/>
    </row>
    <row r="896">
      <c r="F896" s="61"/>
      <c r="G896" s="22"/>
      <c r="H896" s="22"/>
      <c r="I896" s="22"/>
      <c r="J896" s="22"/>
      <c r="K896" s="22"/>
    </row>
    <row r="897">
      <c r="F897" s="61"/>
      <c r="G897" s="22"/>
      <c r="H897" s="22"/>
      <c r="I897" s="22"/>
      <c r="J897" s="22"/>
      <c r="K897" s="22"/>
    </row>
    <row r="898">
      <c r="F898" s="61"/>
      <c r="G898" s="22"/>
      <c r="H898" s="22"/>
      <c r="I898" s="22"/>
      <c r="J898" s="22"/>
      <c r="K898" s="22"/>
    </row>
    <row r="899">
      <c r="F899" s="61"/>
      <c r="G899" s="22"/>
      <c r="H899" s="22"/>
      <c r="I899" s="22"/>
      <c r="J899" s="22"/>
      <c r="K899" s="22"/>
    </row>
    <row r="900">
      <c r="F900" s="61"/>
      <c r="G900" s="22"/>
      <c r="H900" s="22"/>
      <c r="I900" s="22"/>
      <c r="J900" s="22"/>
      <c r="K900" s="22"/>
    </row>
    <row r="901">
      <c r="F901" s="61"/>
      <c r="G901" s="22"/>
      <c r="H901" s="22"/>
      <c r="I901" s="22"/>
      <c r="J901" s="22"/>
      <c r="K901" s="22"/>
    </row>
    <row r="902">
      <c r="F902" s="61"/>
      <c r="G902" s="22"/>
      <c r="H902" s="22"/>
      <c r="I902" s="22"/>
      <c r="J902" s="22"/>
      <c r="K902" s="22"/>
    </row>
    <row r="903">
      <c r="F903" s="61"/>
      <c r="G903" s="22"/>
      <c r="H903" s="22"/>
      <c r="I903" s="22"/>
      <c r="J903" s="22"/>
      <c r="K903" s="22"/>
    </row>
    <row r="904">
      <c r="F904" s="61"/>
      <c r="G904" s="22"/>
      <c r="H904" s="22"/>
      <c r="I904" s="22"/>
      <c r="J904" s="22"/>
      <c r="K904" s="22"/>
    </row>
    <row r="905">
      <c r="F905" s="61"/>
      <c r="G905" s="22"/>
      <c r="H905" s="22"/>
      <c r="I905" s="22"/>
      <c r="J905" s="22"/>
      <c r="K905" s="22"/>
    </row>
    <row r="906">
      <c r="F906" s="61"/>
      <c r="G906" s="22"/>
      <c r="H906" s="22"/>
      <c r="I906" s="22"/>
      <c r="J906" s="22"/>
      <c r="K906" s="22"/>
    </row>
    <row r="907">
      <c r="F907" s="61"/>
      <c r="G907" s="22"/>
      <c r="H907" s="22"/>
      <c r="I907" s="22"/>
      <c r="J907" s="22"/>
      <c r="K907" s="22"/>
    </row>
    <row r="908">
      <c r="F908" s="61"/>
      <c r="G908" s="22"/>
      <c r="H908" s="22"/>
      <c r="I908" s="22"/>
      <c r="J908" s="22"/>
      <c r="K908" s="22"/>
    </row>
    <row r="909">
      <c r="F909" s="61"/>
      <c r="G909" s="22"/>
      <c r="H909" s="22"/>
      <c r="I909" s="22"/>
      <c r="J909" s="22"/>
      <c r="K909" s="22"/>
    </row>
    <row r="910">
      <c r="F910" s="61"/>
      <c r="G910" s="22"/>
      <c r="H910" s="22"/>
      <c r="I910" s="22"/>
      <c r="J910" s="22"/>
      <c r="K910" s="22"/>
    </row>
    <row r="911">
      <c r="F911" s="61"/>
      <c r="G911" s="22"/>
      <c r="H911" s="22"/>
      <c r="I911" s="22"/>
      <c r="J911" s="22"/>
      <c r="K911" s="22"/>
    </row>
    <row r="912">
      <c r="F912" s="61"/>
      <c r="G912" s="22"/>
      <c r="H912" s="22"/>
      <c r="I912" s="22"/>
      <c r="J912" s="22"/>
      <c r="K912" s="22"/>
    </row>
    <row r="913">
      <c r="F913" s="61"/>
      <c r="G913" s="22"/>
      <c r="H913" s="22"/>
      <c r="I913" s="22"/>
      <c r="J913" s="22"/>
      <c r="K913" s="22"/>
    </row>
    <row r="914">
      <c r="F914" s="61"/>
      <c r="G914" s="22"/>
      <c r="H914" s="22"/>
      <c r="I914" s="22"/>
      <c r="J914" s="22"/>
      <c r="K914" s="22"/>
    </row>
    <row r="915">
      <c r="F915" s="61"/>
      <c r="G915" s="22"/>
      <c r="H915" s="22"/>
      <c r="I915" s="22"/>
      <c r="J915" s="22"/>
      <c r="K915" s="22"/>
    </row>
    <row r="916">
      <c r="F916" s="61"/>
      <c r="G916" s="22"/>
      <c r="H916" s="22"/>
      <c r="I916" s="22"/>
      <c r="J916" s="22"/>
      <c r="K916" s="22"/>
    </row>
    <row r="917">
      <c r="F917" s="61"/>
      <c r="G917" s="22"/>
      <c r="H917" s="22"/>
      <c r="I917" s="22"/>
      <c r="J917" s="22"/>
      <c r="K917" s="22"/>
    </row>
    <row r="918">
      <c r="F918" s="61"/>
      <c r="G918" s="22"/>
      <c r="H918" s="22"/>
      <c r="I918" s="22"/>
      <c r="J918" s="22"/>
      <c r="K918" s="22"/>
    </row>
    <row r="919">
      <c r="F919" s="61"/>
      <c r="G919" s="22"/>
      <c r="H919" s="22"/>
      <c r="I919" s="22"/>
      <c r="J919" s="22"/>
      <c r="K919" s="22"/>
    </row>
    <row r="920">
      <c r="F920" s="61"/>
      <c r="G920" s="22"/>
      <c r="H920" s="22"/>
      <c r="I920" s="22"/>
      <c r="J920" s="22"/>
      <c r="K920" s="22"/>
    </row>
    <row r="921">
      <c r="F921" s="61"/>
      <c r="G921" s="22"/>
      <c r="H921" s="22"/>
      <c r="I921" s="22"/>
      <c r="J921" s="22"/>
      <c r="K921" s="22"/>
    </row>
    <row r="922">
      <c r="F922" s="61"/>
      <c r="G922" s="22"/>
      <c r="H922" s="22"/>
      <c r="I922" s="22"/>
      <c r="J922" s="22"/>
      <c r="K922" s="22"/>
    </row>
    <row r="923">
      <c r="F923" s="61"/>
      <c r="G923" s="22"/>
      <c r="H923" s="22"/>
      <c r="I923" s="22"/>
      <c r="J923" s="22"/>
      <c r="K923" s="22"/>
    </row>
    <row r="924">
      <c r="F924" s="61"/>
      <c r="G924" s="22"/>
      <c r="H924" s="22"/>
      <c r="I924" s="22"/>
      <c r="J924" s="22"/>
      <c r="K924" s="22"/>
    </row>
    <row r="925">
      <c r="F925" s="61"/>
      <c r="G925" s="22"/>
      <c r="H925" s="22"/>
      <c r="I925" s="22"/>
      <c r="J925" s="22"/>
      <c r="K925" s="22"/>
    </row>
    <row r="926">
      <c r="F926" s="61"/>
      <c r="G926" s="22"/>
      <c r="H926" s="22"/>
      <c r="I926" s="22"/>
      <c r="J926" s="22"/>
      <c r="K926" s="22"/>
    </row>
    <row r="927">
      <c r="F927" s="61"/>
      <c r="G927" s="22"/>
      <c r="H927" s="22"/>
      <c r="I927" s="22"/>
      <c r="J927" s="22"/>
      <c r="K927" s="22"/>
    </row>
    <row r="928">
      <c r="F928" s="61"/>
      <c r="G928" s="22"/>
      <c r="H928" s="22"/>
      <c r="I928" s="22"/>
      <c r="J928" s="22"/>
      <c r="K928" s="22"/>
    </row>
    <row r="929">
      <c r="F929" s="61"/>
      <c r="G929" s="22"/>
      <c r="H929" s="22"/>
      <c r="I929" s="22"/>
      <c r="J929" s="22"/>
      <c r="K929" s="22"/>
    </row>
    <row r="930">
      <c r="F930" s="61"/>
      <c r="G930" s="22"/>
      <c r="H930" s="22"/>
      <c r="I930" s="22"/>
      <c r="J930" s="22"/>
      <c r="K930" s="22"/>
    </row>
    <row r="931">
      <c r="F931" s="61"/>
      <c r="G931" s="22"/>
      <c r="H931" s="22"/>
      <c r="I931" s="22"/>
      <c r="J931" s="22"/>
      <c r="K931" s="22"/>
    </row>
    <row r="932">
      <c r="F932" s="61"/>
      <c r="G932" s="22"/>
      <c r="H932" s="22"/>
      <c r="I932" s="22"/>
      <c r="J932" s="22"/>
      <c r="K932" s="22"/>
    </row>
    <row r="933">
      <c r="F933" s="61"/>
      <c r="G933" s="22"/>
      <c r="H933" s="22"/>
      <c r="I933" s="22"/>
      <c r="J933" s="22"/>
      <c r="K933" s="22"/>
    </row>
    <row r="934">
      <c r="F934" s="61"/>
      <c r="G934" s="22"/>
      <c r="H934" s="22"/>
      <c r="I934" s="22"/>
      <c r="J934" s="22"/>
      <c r="K934" s="22"/>
    </row>
    <row r="935">
      <c r="F935" s="61"/>
      <c r="G935" s="22"/>
      <c r="H935" s="22"/>
      <c r="I935" s="22"/>
      <c r="J935" s="22"/>
      <c r="K935" s="22"/>
    </row>
    <row r="936">
      <c r="F936" s="61"/>
      <c r="G936" s="22"/>
      <c r="H936" s="22"/>
      <c r="I936" s="22"/>
      <c r="J936" s="22"/>
      <c r="K936" s="22"/>
    </row>
    <row r="937">
      <c r="F937" s="61"/>
      <c r="G937" s="22"/>
      <c r="H937" s="22"/>
      <c r="I937" s="22"/>
      <c r="J937" s="22"/>
      <c r="K937" s="22"/>
    </row>
    <row r="938">
      <c r="F938" s="61"/>
      <c r="G938" s="22"/>
      <c r="H938" s="22"/>
      <c r="I938" s="22"/>
      <c r="J938" s="22"/>
      <c r="K938" s="22"/>
    </row>
    <row r="939">
      <c r="F939" s="61"/>
      <c r="G939" s="22"/>
      <c r="H939" s="22"/>
      <c r="I939" s="22"/>
      <c r="J939" s="22"/>
      <c r="K939" s="22"/>
    </row>
    <row r="940">
      <c r="F940" s="61"/>
      <c r="G940" s="22"/>
      <c r="H940" s="22"/>
      <c r="I940" s="22"/>
      <c r="J940" s="22"/>
      <c r="K940" s="22"/>
    </row>
    <row r="941">
      <c r="F941" s="61"/>
      <c r="G941" s="22"/>
      <c r="H941" s="22"/>
      <c r="I941" s="22"/>
      <c r="J941" s="22"/>
      <c r="K941" s="22"/>
    </row>
    <row r="942">
      <c r="F942" s="61"/>
      <c r="G942" s="22"/>
      <c r="H942" s="22"/>
      <c r="I942" s="22"/>
      <c r="J942" s="22"/>
      <c r="K942" s="22"/>
    </row>
    <row r="943">
      <c r="F943" s="61"/>
      <c r="G943" s="22"/>
      <c r="H943" s="22"/>
      <c r="I943" s="22"/>
      <c r="J943" s="22"/>
      <c r="K943" s="22"/>
    </row>
    <row r="944">
      <c r="F944" s="61"/>
      <c r="G944" s="22"/>
      <c r="H944" s="22"/>
      <c r="I944" s="22"/>
      <c r="J944" s="22"/>
      <c r="K944" s="22"/>
    </row>
    <row r="945">
      <c r="F945" s="61"/>
      <c r="G945" s="22"/>
      <c r="H945" s="22"/>
      <c r="I945" s="22"/>
      <c r="J945" s="22"/>
      <c r="K945" s="22"/>
    </row>
    <row r="946">
      <c r="F946" s="61"/>
      <c r="G946" s="22"/>
      <c r="H946" s="22"/>
      <c r="I946" s="22"/>
      <c r="J946" s="22"/>
      <c r="K946" s="22"/>
    </row>
    <row r="947">
      <c r="F947" s="61"/>
      <c r="G947" s="22"/>
      <c r="H947" s="22"/>
      <c r="I947" s="22"/>
      <c r="J947" s="22"/>
      <c r="K947" s="22"/>
    </row>
    <row r="948">
      <c r="F948" s="61"/>
      <c r="G948" s="22"/>
      <c r="H948" s="22"/>
      <c r="I948" s="22"/>
      <c r="J948" s="22"/>
      <c r="K948" s="22"/>
    </row>
    <row r="949">
      <c r="F949" s="61"/>
      <c r="G949" s="22"/>
      <c r="H949" s="22"/>
      <c r="I949" s="22"/>
      <c r="J949" s="22"/>
      <c r="K949" s="22"/>
    </row>
    <row r="950">
      <c r="F950" s="61"/>
      <c r="G950" s="22"/>
      <c r="H950" s="22"/>
      <c r="I950" s="22"/>
      <c r="J950" s="22"/>
      <c r="K950" s="22"/>
    </row>
    <row r="951">
      <c r="F951" s="61"/>
      <c r="G951" s="22"/>
      <c r="H951" s="22"/>
      <c r="I951" s="22"/>
      <c r="J951" s="22"/>
      <c r="K951" s="22"/>
    </row>
    <row r="952">
      <c r="F952" s="61"/>
      <c r="G952" s="22"/>
      <c r="H952" s="22"/>
      <c r="I952" s="22"/>
      <c r="J952" s="22"/>
      <c r="K952" s="22"/>
    </row>
    <row r="953">
      <c r="F953" s="61"/>
      <c r="G953" s="22"/>
      <c r="H953" s="22"/>
      <c r="I953" s="22"/>
      <c r="J953" s="22"/>
      <c r="K953" s="22"/>
    </row>
    <row r="954">
      <c r="F954" s="61"/>
      <c r="G954" s="22"/>
      <c r="H954" s="22"/>
      <c r="I954" s="22"/>
      <c r="J954" s="22"/>
      <c r="K954" s="22"/>
    </row>
    <row r="955">
      <c r="F955" s="61"/>
      <c r="G955" s="22"/>
      <c r="H955" s="22"/>
      <c r="I955" s="22"/>
      <c r="J955" s="22"/>
      <c r="K955" s="22"/>
    </row>
    <row r="956">
      <c r="F956" s="61"/>
      <c r="G956" s="22"/>
      <c r="H956" s="22"/>
      <c r="I956" s="22"/>
      <c r="J956" s="22"/>
      <c r="K956" s="22"/>
    </row>
    <row r="957">
      <c r="F957" s="61"/>
      <c r="G957" s="22"/>
      <c r="H957" s="22"/>
      <c r="I957" s="22"/>
      <c r="J957" s="22"/>
      <c r="K957" s="22"/>
    </row>
    <row r="958">
      <c r="F958" s="61"/>
      <c r="G958" s="22"/>
      <c r="H958" s="22"/>
      <c r="I958" s="22"/>
      <c r="J958" s="22"/>
      <c r="K958" s="22"/>
    </row>
    <row r="959">
      <c r="F959" s="61"/>
      <c r="G959" s="22"/>
      <c r="H959" s="22"/>
      <c r="I959" s="22"/>
      <c r="J959" s="22"/>
      <c r="K959" s="22"/>
    </row>
    <row r="960">
      <c r="F960" s="61"/>
      <c r="G960" s="22"/>
      <c r="H960" s="22"/>
      <c r="I960" s="22"/>
      <c r="J960" s="22"/>
      <c r="K960" s="22"/>
    </row>
    <row r="961">
      <c r="F961" s="61"/>
      <c r="G961" s="22"/>
      <c r="H961" s="22"/>
      <c r="I961" s="22"/>
      <c r="J961" s="22"/>
      <c r="K961" s="22"/>
    </row>
    <row r="962">
      <c r="F962" s="61"/>
      <c r="G962" s="22"/>
      <c r="H962" s="22"/>
      <c r="I962" s="22"/>
      <c r="J962" s="22"/>
      <c r="K962" s="22"/>
    </row>
    <row r="963">
      <c r="F963" s="61"/>
      <c r="G963" s="22"/>
      <c r="H963" s="22"/>
      <c r="I963" s="22"/>
      <c r="J963" s="22"/>
      <c r="K963" s="22"/>
    </row>
    <row r="964">
      <c r="F964" s="61"/>
      <c r="G964" s="22"/>
      <c r="H964" s="22"/>
      <c r="I964" s="22"/>
      <c r="J964" s="22"/>
      <c r="K964" s="22"/>
    </row>
    <row r="965">
      <c r="F965" s="61"/>
      <c r="G965" s="22"/>
      <c r="H965" s="22"/>
      <c r="I965" s="22"/>
      <c r="J965" s="22"/>
      <c r="K965" s="22"/>
    </row>
    <row r="966">
      <c r="F966" s="61"/>
      <c r="G966" s="22"/>
      <c r="H966" s="22"/>
      <c r="I966" s="22"/>
      <c r="J966" s="22"/>
      <c r="K966" s="22"/>
    </row>
    <row r="967">
      <c r="F967" s="61"/>
      <c r="G967" s="22"/>
      <c r="H967" s="22"/>
      <c r="I967" s="22"/>
      <c r="J967" s="22"/>
      <c r="K967" s="22"/>
    </row>
    <row r="968">
      <c r="F968" s="61"/>
      <c r="G968" s="22"/>
      <c r="H968" s="22"/>
      <c r="I968" s="22"/>
      <c r="J968" s="22"/>
      <c r="K968" s="22"/>
    </row>
    <row r="969">
      <c r="F969" s="61"/>
      <c r="G969" s="22"/>
      <c r="H969" s="22"/>
      <c r="I969" s="22"/>
      <c r="J969" s="22"/>
      <c r="K969" s="22"/>
    </row>
    <row r="970">
      <c r="F970" s="61"/>
      <c r="G970" s="22"/>
      <c r="H970" s="22"/>
      <c r="I970" s="22"/>
      <c r="J970" s="22"/>
      <c r="K970" s="22"/>
    </row>
    <row r="971">
      <c r="F971" s="61"/>
      <c r="G971" s="22"/>
      <c r="H971" s="22"/>
      <c r="I971" s="22"/>
      <c r="J971" s="22"/>
      <c r="K971" s="22"/>
    </row>
    <row r="972">
      <c r="F972" s="61"/>
      <c r="G972" s="22"/>
      <c r="H972" s="22"/>
      <c r="I972" s="22"/>
      <c r="J972" s="22"/>
      <c r="K972" s="22"/>
    </row>
    <row r="973">
      <c r="F973" s="61"/>
      <c r="G973" s="22"/>
      <c r="H973" s="22"/>
      <c r="I973" s="22"/>
      <c r="J973" s="22"/>
      <c r="K973" s="22"/>
    </row>
    <row r="974">
      <c r="F974" s="61"/>
      <c r="G974" s="22"/>
      <c r="H974" s="22"/>
      <c r="I974" s="22"/>
      <c r="J974" s="22"/>
      <c r="K974" s="22"/>
    </row>
    <row r="975">
      <c r="F975" s="61"/>
      <c r="G975" s="22"/>
      <c r="H975" s="22"/>
      <c r="I975" s="22"/>
      <c r="J975" s="22"/>
      <c r="K975" s="22"/>
    </row>
    <row r="976">
      <c r="F976" s="61"/>
      <c r="G976" s="22"/>
      <c r="H976" s="22"/>
      <c r="I976" s="22"/>
      <c r="J976" s="22"/>
      <c r="K976" s="22"/>
    </row>
    <row r="977">
      <c r="F977" s="61"/>
      <c r="G977" s="22"/>
      <c r="H977" s="22"/>
      <c r="I977" s="22"/>
      <c r="J977" s="22"/>
      <c r="K977" s="22"/>
    </row>
    <row r="978">
      <c r="F978" s="61"/>
      <c r="G978" s="22"/>
      <c r="H978" s="22"/>
      <c r="I978" s="22"/>
      <c r="J978" s="22"/>
      <c r="K978" s="22"/>
    </row>
    <row r="979">
      <c r="F979" s="61"/>
      <c r="G979" s="22"/>
      <c r="H979" s="22"/>
      <c r="I979" s="22"/>
      <c r="J979" s="22"/>
      <c r="K979" s="22"/>
    </row>
    <row r="980">
      <c r="F980" s="61"/>
      <c r="G980" s="22"/>
      <c r="H980" s="22"/>
      <c r="I980" s="22"/>
      <c r="J980" s="22"/>
      <c r="K980" s="22"/>
    </row>
    <row r="981">
      <c r="F981" s="61"/>
      <c r="G981" s="22"/>
      <c r="H981" s="22"/>
      <c r="I981" s="22"/>
      <c r="J981" s="22"/>
      <c r="K981" s="22"/>
    </row>
    <row r="982">
      <c r="F982" s="61"/>
      <c r="G982" s="22"/>
      <c r="H982" s="22"/>
      <c r="I982" s="22"/>
      <c r="J982" s="22"/>
      <c r="K982" s="22"/>
    </row>
    <row r="983">
      <c r="F983" s="61"/>
      <c r="G983" s="22"/>
      <c r="H983" s="22"/>
      <c r="I983" s="22"/>
      <c r="J983" s="22"/>
      <c r="K983" s="22"/>
    </row>
    <row r="984">
      <c r="F984" s="61"/>
      <c r="G984" s="22"/>
      <c r="H984" s="22"/>
      <c r="I984" s="22"/>
      <c r="J984" s="22"/>
      <c r="K984" s="22"/>
    </row>
    <row r="985">
      <c r="F985" s="61"/>
      <c r="G985" s="22"/>
      <c r="H985" s="22"/>
      <c r="I985" s="22"/>
      <c r="J985" s="22"/>
      <c r="K985" s="22"/>
    </row>
    <row r="986">
      <c r="F986" s="61"/>
      <c r="G986" s="22"/>
      <c r="H986" s="22"/>
      <c r="I986" s="22"/>
      <c r="J986" s="22"/>
      <c r="K986" s="22"/>
    </row>
    <row r="987">
      <c r="F987" s="61"/>
      <c r="G987" s="22"/>
      <c r="H987" s="22"/>
      <c r="I987" s="22"/>
      <c r="J987" s="22"/>
      <c r="K987" s="22"/>
    </row>
    <row r="988">
      <c r="F988" s="61"/>
      <c r="G988" s="22"/>
      <c r="H988" s="22"/>
      <c r="I988" s="22"/>
      <c r="J988" s="22"/>
      <c r="K988" s="22"/>
    </row>
    <row r="989">
      <c r="F989" s="61"/>
      <c r="G989" s="22"/>
      <c r="H989" s="22"/>
      <c r="I989" s="22"/>
      <c r="J989" s="22"/>
      <c r="K989" s="22"/>
    </row>
    <row r="990">
      <c r="F990" s="61"/>
      <c r="G990" s="22"/>
      <c r="H990" s="22"/>
      <c r="I990" s="22"/>
      <c r="J990" s="22"/>
      <c r="K990" s="22"/>
    </row>
    <row r="991">
      <c r="F991" s="61"/>
      <c r="G991" s="22"/>
      <c r="H991" s="22"/>
      <c r="I991" s="22"/>
      <c r="J991" s="22"/>
      <c r="K991" s="22"/>
    </row>
    <row r="992">
      <c r="F992" s="61"/>
      <c r="G992" s="22"/>
      <c r="H992" s="22"/>
      <c r="I992" s="22"/>
      <c r="J992" s="22"/>
      <c r="K992" s="22"/>
    </row>
    <row r="993">
      <c r="F993" s="61"/>
      <c r="G993" s="22"/>
      <c r="H993" s="22"/>
      <c r="I993" s="22"/>
      <c r="J993" s="22"/>
      <c r="K993" s="22"/>
    </row>
    <row r="994">
      <c r="F994" s="61"/>
      <c r="G994" s="22"/>
      <c r="H994" s="22"/>
      <c r="I994" s="22"/>
      <c r="J994" s="22"/>
      <c r="K994" s="22"/>
    </row>
    <row r="995">
      <c r="F995" s="61"/>
      <c r="G995" s="22"/>
      <c r="H995" s="22"/>
      <c r="I995" s="22"/>
      <c r="J995" s="22"/>
      <c r="K995" s="22"/>
    </row>
    <row r="996">
      <c r="F996" s="61"/>
      <c r="G996" s="22"/>
      <c r="H996" s="22"/>
      <c r="I996" s="22"/>
      <c r="J996" s="22"/>
      <c r="K996" s="22"/>
    </row>
    <row r="997">
      <c r="F997" s="61"/>
      <c r="G997" s="22"/>
      <c r="H997" s="22"/>
      <c r="I997" s="22"/>
      <c r="J997" s="22"/>
      <c r="K997" s="22"/>
    </row>
    <row r="998">
      <c r="F998" s="61"/>
      <c r="G998" s="22"/>
      <c r="H998" s="22"/>
      <c r="I998" s="22"/>
      <c r="J998" s="22"/>
      <c r="K998" s="22"/>
    </row>
    <row r="999">
      <c r="F999" s="61"/>
      <c r="G999" s="22"/>
      <c r="H999" s="22"/>
      <c r="I999" s="22"/>
      <c r="J999" s="22"/>
      <c r="K999" s="22"/>
    </row>
    <row r="1000">
      <c r="F1000" s="61"/>
      <c r="G1000" s="22"/>
      <c r="H1000" s="22"/>
      <c r="I1000" s="22"/>
      <c r="J1000" s="22"/>
      <c r="K1000" s="22"/>
    </row>
    <row r="1001">
      <c r="F1001" s="61"/>
      <c r="G1001" s="22"/>
      <c r="H1001" s="22"/>
      <c r="I1001" s="22"/>
      <c r="J1001" s="22"/>
      <c r="K1001" s="22"/>
    </row>
    <row r="1002">
      <c r="F1002" s="61"/>
      <c r="G1002" s="22"/>
      <c r="H1002" s="22"/>
      <c r="I1002" s="22"/>
      <c r="J1002" s="22"/>
      <c r="K1002" s="22"/>
    </row>
    <row r="1003">
      <c r="F1003" s="61"/>
      <c r="G1003" s="22"/>
      <c r="H1003" s="22"/>
      <c r="I1003" s="22"/>
      <c r="J1003" s="22"/>
      <c r="K1003" s="22"/>
    </row>
    <row r="1004">
      <c r="F1004" s="61"/>
      <c r="G1004" s="22"/>
      <c r="H1004" s="22"/>
      <c r="I1004" s="22"/>
      <c r="J1004" s="22"/>
      <c r="K1004" s="22"/>
    </row>
    <row r="1005">
      <c r="F1005" s="61"/>
      <c r="G1005" s="22"/>
      <c r="H1005" s="22"/>
      <c r="I1005" s="22"/>
      <c r="J1005" s="22"/>
      <c r="K1005" s="22"/>
    </row>
    <row r="1006">
      <c r="F1006" s="61"/>
      <c r="G1006" s="22"/>
      <c r="H1006" s="22"/>
      <c r="I1006" s="22"/>
      <c r="J1006" s="22"/>
      <c r="K1006" s="22"/>
    </row>
    <row r="1007">
      <c r="F1007" s="61"/>
      <c r="G1007" s="22"/>
      <c r="H1007" s="22"/>
      <c r="I1007" s="22"/>
      <c r="J1007" s="22"/>
      <c r="K1007" s="22"/>
    </row>
    <row r="1008">
      <c r="F1008" s="61"/>
      <c r="G1008" s="22"/>
      <c r="H1008" s="22"/>
      <c r="I1008" s="22"/>
      <c r="J1008" s="22"/>
      <c r="K1008" s="22"/>
    </row>
    <row r="1009">
      <c r="F1009" s="61"/>
      <c r="G1009" s="22"/>
      <c r="H1009" s="22"/>
      <c r="I1009" s="22"/>
      <c r="J1009" s="22"/>
      <c r="K1009" s="22"/>
    </row>
    <row r="1010">
      <c r="F1010" s="61"/>
      <c r="G1010" s="22"/>
      <c r="H1010" s="22"/>
      <c r="I1010" s="22"/>
      <c r="J1010" s="22"/>
      <c r="K1010" s="22"/>
    </row>
    <row r="1011">
      <c r="F1011" s="61"/>
      <c r="G1011" s="22"/>
      <c r="H1011" s="22"/>
      <c r="I1011" s="22"/>
      <c r="J1011" s="22"/>
      <c r="K1011" s="22"/>
    </row>
    <row r="1012">
      <c r="F1012" s="61"/>
      <c r="G1012" s="22"/>
      <c r="H1012" s="22"/>
      <c r="I1012" s="22"/>
      <c r="J1012" s="22"/>
      <c r="K1012" s="22"/>
    </row>
    <row r="1013">
      <c r="F1013" s="61"/>
      <c r="G1013" s="22"/>
      <c r="H1013" s="22"/>
      <c r="I1013" s="22"/>
      <c r="J1013" s="22"/>
      <c r="K1013" s="22"/>
    </row>
    <row r="1014">
      <c r="F1014" s="61"/>
      <c r="G1014" s="22"/>
      <c r="H1014" s="22"/>
      <c r="I1014" s="22"/>
      <c r="J1014" s="22"/>
      <c r="K1014" s="22"/>
    </row>
    <row r="1015">
      <c r="F1015" s="61"/>
      <c r="G1015" s="22"/>
      <c r="H1015" s="22"/>
      <c r="I1015" s="22"/>
      <c r="J1015" s="22"/>
      <c r="K1015" s="22"/>
    </row>
    <row r="1016">
      <c r="F1016" s="61"/>
      <c r="G1016" s="22"/>
      <c r="H1016" s="22"/>
      <c r="I1016" s="22"/>
      <c r="J1016" s="22"/>
      <c r="K1016" s="22"/>
    </row>
    <row r="1017">
      <c r="F1017" s="61"/>
      <c r="G1017" s="22"/>
      <c r="H1017" s="22"/>
      <c r="I1017" s="22"/>
      <c r="J1017" s="22"/>
      <c r="K1017" s="22"/>
    </row>
    <row r="1018">
      <c r="F1018" s="61"/>
      <c r="G1018" s="22"/>
      <c r="H1018" s="22"/>
      <c r="I1018" s="22"/>
      <c r="J1018" s="22"/>
      <c r="K1018" s="22"/>
    </row>
    <row r="1019">
      <c r="F1019" s="61"/>
      <c r="G1019" s="22"/>
      <c r="H1019" s="22"/>
      <c r="I1019" s="22"/>
      <c r="J1019" s="22"/>
      <c r="K1019" s="22"/>
    </row>
    <row r="1020">
      <c r="F1020" s="61"/>
      <c r="G1020" s="22"/>
      <c r="H1020" s="22"/>
      <c r="I1020" s="22"/>
      <c r="J1020" s="22"/>
      <c r="K1020" s="22"/>
    </row>
    <row r="1021">
      <c r="F1021" s="61"/>
      <c r="G1021" s="22"/>
      <c r="H1021" s="22"/>
      <c r="I1021" s="22"/>
      <c r="J1021" s="22"/>
      <c r="K1021" s="22"/>
    </row>
    <row r="1022">
      <c r="F1022" s="61"/>
      <c r="G1022" s="22"/>
      <c r="H1022" s="22"/>
      <c r="I1022" s="22"/>
      <c r="J1022" s="22"/>
      <c r="K1022" s="22"/>
    </row>
    <row r="1023">
      <c r="F1023" s="61"/>
      <c r="G1023" s="22"/>
      <c r="H1023" s="22"/>
      <c r="I1023" s="22"/>
      <c r="J1023" s="22"/>
      <c r="K1023" s="22"/>
    </row>
    <row r="1024">
      <c r="F1024" s="61"/>
      <c r="G1024" s="22"/>
      <c r="H1024" s="22"/>
      <c r="I1024" s="22"/>
      <c r="J1024" s="22"/>
      <c r="K1024" s="22"/>
    </row>
    <row r="1025">
      <c r="F1025" s="61"/>
      <c r="G1025" s="22"/>
      <c r="H1025" s="22"/>
      <c r="I1025" s="22"/>
      <c r="J1025" s="22"/>
      <c r="K1025" s="22"/>
    </row>
    <row r="1026">
      <c r="F1026" s="61"/>
      <c r="G1026" s="22"/>
      <c r="H1026" s="22"/>
      <c r="I1026" s="22"/>
      <c r="J1026" s="22"/>
      <c r="K1026" s="22"/>
    </row>
    <row r="1027">
      <c r="F1027" s="61"/>
      <c r="G1027" s="22"/>
      <c r="H1027" s="22"/>
      <c r="I1027" s="22"/>
      <c r="J1027" s="22"/>
      <c r="K1027" s="22"/>
    </row>
    <row r="1028">
      <c r="F1028" s="61"/>
      <c r="G1028" s="22"/>
      <c r="H1028" s="22"/>
      <c r="I1028" s="22"/>
      <c r="J1028" s="22"/>
      <c r="K1028" s="22"/>
    </row>
    <row r="1029">
      <c r="F1029" s="61"/>
      <c r="G1029" s="22"/>
      <c r="H1029" s="22"/>
      <c r="I1029" s="22"/>
      <c r="J1029" s="22"/>
      <c r="K1029" s="22"/>
    </row>
    <row r="1030">
      <c r="F1030" s="61"/>
      <c r="G1030" s="22"/>
      <c r="H1030" s="22"/>
      <c r="I1030" s="22"/>
      <c r="J1030" s="22"/>
      <c r="K1030" s="22"/>
    </row>
    <row r="1031">
      <c r="F1031" s="61"/>
      <c r="G1031" s="22"/>
      <c r="H1031" s="22"/>
      <c r="I1031" s="22"/>
      <c r="J1031" s="22"/>
      <c r="K1031" s="22"/>
    </row>
    <row r="1032">
      <c r="F1032" s="61"/>
      <c r="G1032" s="22"/>
      <c r="H1032" s="22"/>
      <c r="I1032" s="22"/>
      <c r="J1032" s="22"/>
      <c r="K1032" s="22"/>
    </row>
    <row r="1033">
      <c r="F1033" s="61"/>
      <c r="G1033" s="22"/>
      <c r="H1033" s="22"/>
      <c r="I1033" s="22"/>
      <c r="J1033" s="22"/>
      <c r="K1033" s="22"/>
    </row>
    <row r="1034">
      <c r="F1034" s="61"/>
      <c r="G1034" s="22"/>
      <c r="H1034" s="22"/>
      <c r="I1034" s="22"/>
      <c r="J1034" s="22"/>
      <c r="K1034" s="22"/>
    </row>
    <row r="1035">
      <c r="F1035" s="61"/>
      <c r="G1035" s="22"/>
      <c r="H1035" s="22"/>
      <c r="I1035" s="22"/>
      <c r="J1035" s="22"/>
      <c r="K1035" s="22"/>
    </row>
    <row r="1036">
      <c r="F1036" s="61"/>
      <c r="G1036" s="22"/>
      <c r="H1036" s="22"/>
      <c r="I1036" s="22"/>
      <c r="J1036" s="22"/>
      <c r="K1036" s="22"/>
    </row>
    <row r="1037">
      <c r="F1037" s="61"/>
      <c r="G1037" s="22"/>
      <c r="H1037" s="22"/>
      <c r="I1037" s="22"/>
      <c r="J1037" s="22"/>
      <c r="K1037" s="22"/>
    </row>
    <row r="1038">
      <c r="F1038" s="61"/>
      <c r="G1038" s="22"/>
      <c r="H1038" s="22"/>
      <c r="I1038" s="22"/>
      <c r="J1038" s="22"/>
      <c r="K1038" s="22"/>
    </row>
    <row r="1039">
      <c r="F1039" s="61"/>
      <c r="G1039" s="22"/>
      <c r="H1039" s="22"/>
      <c r="I1039" s="22"/>
      <c r="J1039" s="22"/>
      <c r="K1039" s="22"/>
    </row>
    <row r="1040">
      <c r="F1040" s="61"/>
      <c r="G1040" s="22"/>
      <c r="H1040" s="22"/>
      <c r="I1040" s="22"/>
      <c r="J1040" s="22"/>
      <c r="K1040" s="22"/>
    </row>
    <row r="1041">
      <c r="F1041" s="61"/>
      <c r="G1041" s="22"/>
      <c r="H1041" s="22"/>
      <c r="I1041" s="22"/>
      <c r="J1041" s="22"/>
      <c r="K1041" s="22"/>
    </row>
    <row r="1042">
      <c r="F1042" s="61"/>
      <c r="G1042" s="22"/>
      <c r="H1042" s="22"/>
      <c r="I1042" s="22"/>
      <c r="J1042" s="22"/>
      <c r="K1042" s="22"/>
    </row>
    <row r="1043">
      <c r="F1043" s="61"/>
      <c r="G1043" s="22"/>
      <c r="H1043" s="22"/>
      <c r="I1043" s="22"/>
      <c r="J1043" s="22"/>
      <c r="K1043" s="22"/>
    </row>
    <row r="1044">
      <c r="F1044" s="61"/>
      <c r="G1044" s="22"/>
      <c r="H1044" s="22"/>
      <c r="I1044" s="22"/>
      <c r="J1044" s="22"/>
      <c r="K1044" s="22"/>
    </row>
    <row r="1045">
      <c r="F1045" s="61"/>
      <c r="G1045" s="22"/>
      <c r="H1045" s="22"/>
      <c r="I1045" s="22"/>
      <c r="J1045" s="22"/>
      <c r="K1045" s="22"/>
    </row>
    <row r="1046">
      <c r="F1046" s="61"/>
      <c r="G1046" s="22"/>
      <c r="H1046" s="22"/>
      <c r="I1046" s="22"/>
      <c r="J1046" s="22"/>
      <c r="K1046" s="22"/>
    </row>
    <row r="1047">
      <c r="F1047" s="61"/>
      <c r="G1047" s="22"/>
      <c r="H1047" s="22"/>
      <c r="I1047" s="22"/>
      <c r="J1047" s="22"/>
      <c r="K1047" s="22"/>
    </row>
    <row r="1048">
      <c r="F1048" s="61"/>
      <c r="G1048" s="22"/>
      <c r="H1048" s="22"/>
      <c r="I1048" s="22"/>
      <c r="J1048" s="22"/>
      <c r="K1048" s="22"/>
    </row>
    <row r="1049">
      <c r="F1049" s="61"/>
      <c r="G1049" s="22"/>
      <c r="H1049" s="22"/>
      <c r="I1049" s="22"/>
      <c r="J1049" s="22"/>
      <c r="K1049" s="22"/>
    </row>
    <row r="1050">
      <c r="F1050" s="61"/>
      <c r="G1050" s="22"/>
      <c r="H1050" s="22"/>
      <c r="I1050" s="22"/>
      <c r="J1050" s="22"/>
      <c r="K1050" s="22"/>
    </row>
    <row r="1051">
      <c r="F1051" s="61"/>
      <c r="G1051" s="22"/>
      <c r="H1051" s="22"/>
      <c r="I1051" s="22"/>
      <c r="J1051" s="22"/>
      <c r="K1051" s="22"/>
    </row>
    <row r="1052">
      <c r="F1052" s="61"/>
      <c r="G1052" s="22"/>
      <c r="H1052" s="22"/>
      <c r="I1052" s="22"/>
      <c r="J1052" s="22"/>
      <c r="K1052" s="22"/>
    </row>
    <row r="1053">
      <c r="F1053" s="61"/>
      <c r="G1053" s="22"/>
      <c r="H1053" s="22"/>
      <c r="I1053" s="22"/>
      <c r="J1053" s="22"/>
      <c r="K1053" s="22"/>
    </row>
    <row r="1054">
      <c r="F1054" s="61"/>
      <c r="G1054" s="22"/>
      <c r="H1054" s="22"/>
      <c r="I1054" s="22"/>
      <c r="J1054" s="22"/>
      <c r="K1054" s="22"/>
    </row>
    <row r="1055">
      <c r="F1055" s="61"/>
      <c r="G1055" s="22"/>
      <c r="H1055" s="22"/>
      <c r="I1055" s="22"/>
      <c r="J1055" s="22"/>
      <c r="K1055" s="22"/>
    </row>
    <row r="1056">
      <c r="F1056" s="61"/>
      <c r="G1056" s="22"/>
      <c r="H1056" s="22"/>
      <c r="I1056" s="22"/>
      <c r="J1056" s="22"/>
      <c r="K1056" s="22"/>
    </row>
    <row r="1057">
      <c r="F1057" s="61"/>
      <c r="G1057" s="22"/>
      <c r="H1057" s="22"/>
      <c r="I1057" s="22"/>
      <c r="J1057" s="22"/>
      <c r="K1057" s="22"/>
    </row>
    <row r="1058">
      <c r="F1058" s="61"/>
      <c r="G1058" s="22"/>
      <c r="H1058" s="22"/>
      <c r="I1058" s="22"/>
      <c r="J1058" s="22"/>
      <c r="K1058" s="22"/>
    </row>
    <row r="1059">
      <c r="F1059" s="61"/>
      <c r="G1059" s="22"/>
      <c r="H1059" s="22"/>
      <c r="I1059" s="22"/>
      <c r="J1059" s="22"/>
      <c r="K1059" s="22"/>
    </row>
    <row r="1060">
      <c r="F1060" s="61"/>
      <c r="G1060" s="22"/>
      <c r="H1060" s="22"/>
      <c r="I1060" s="22"/>
      <c r="J1060" s="22"/>
      <c r="K1060" s="22"/>
    </row>
    <row r="1061">
      <c r="F1061" s="61"/>
      <c r="G1061" s="22"/>
      <c r="H1061" s="22"/>
      <c r="I1061" s="22"/>
      <c r="J1061" s="22"/>
      <c r="K1061" s="22"/>
    </row>
    <row r="1062">
      <c r="F1062" s="61"/>
      <c r="G1062" s="22"/>
      <c r="H1062" s="22"/>
      <c r="I1062" s="22"/>
      <c r="J1062" s="22"/>
      <c r="K1062" s="22"/>
    </row>
    <row r="1063">
      <c r="F1063" s="61"/>
      <c r="G1063" s="22"/>
      <c r="H1063" s="22"/>
      <c r="I1063" s="22"/>
      <c r="J1063" s="22"/>
      <c r="K1063" s="22"/>
    </row>
    <row r="1064">
      <c r="F1064" s="61"/>
      <c r="G1064" s="22"/>
      <c r="H1064" s="22"/>
      <c r="I1064" s="22"/>
      <c r="J1064" s="22"/>
      <c r="K1064" s="22"/>
    </row>
    <row r="1065">
      <c r="F1065" s="61"/>
      <c r="G1065" s="22"/>
      <c r="H1065" s="22"/>
      <c r="I1065" s="22"/>
      <c r="J1065" s="22"/>
      <c r="K1065" s="22"/>
    </row>
    <row r="1066">
      <c r="F1066" s="61"/>
      <c r="G1066" s="22"/>
      <c r="H1066" s="22"/>
      <c r="I1066" s="22"/>
      <c r="J1066" s="22"/>
      <c r="K1066" s="22"/>
    </row>
    <row r="1067">
      <c r="F1067" s="61"/>
      <c r="G1067" s="22"/>
      <c r="H1067" s="22"/>
      <c r="I1067" s="22"/>
      <c r="J1067" s="22"/>
      <c r="K1067" s="22"/>
    </row>
    <row r="1068">
      <c r="F1068" s="61"/>
      <c r="G1068" s="22"/>
      <c r="H1068" s="22"/>
      <c r="I1068" s="22"/>
      <c r="J1068" s="22"/>
      <c r="K1068" s="22"/>
    </row>
    <row r="1069">
      <c r="F1069" s="61"/>
      <c r="G1069" s="22"/>
      <c r="H1069" s="22"/>
      <c r="I1069" s="22"/>
      <c r="J1069" s="22"/>
      <c r="K1069" s="22"/>
    </row>
    <row r="1070">
      <c r="F1070" s="61"/>
      <c r="G1070" s="22"/>
      <c r="H1070" s="22"/>
      <c r="I1070" s="22"/>
      <c r="J1070" s="22"/>
      <c r="K1070" s="22"/>
    </row>
    <row r="1071">
      <c r="F1071" s="61"/>
      <c r="G1071" s="22"/>
      <c r="H1071" s="22"/>
      <c r="I1071" s="22"/>
      <c r="J1071" s="22"/>
      <c r="K1071" s="22"/>
    </row>
    <row r="1072">
      <c r="F1072" s="61"/>
      <c r="G1072" s="22"/>
      <c r="H1072" s="22"/>
      <c r="I1072" s="22"/>
      <c r="J1072" s="22"/>
      <c r="K1072" s="22"/>
    </row>
    <row r="1073">
      <c r="F1073" s="61"/>
      <c r="G1073" s="22"/>
      <c r="H1073" s="22"/>
      <c r="I1073" s="22"/>
      <c r="J1073" s="22"/>
      <c r="K1073" s="22"/>
    </row>
    <row r="1074">
      <c r="F1074" s="61"/>
      <c r="G1074" s="22"/>
      <c r="H1074" s="22"/>
      <c r="I1074" s="22"/>
      <c r="J1074" s="22"/>
      <c r="K1074" s="22"/>
    </row>
    <row r="1075">
      <c r="F1075" s="61"/>
      <c r="G1075" s="22"/>
      <c r="H1075" s="22"/>
      <c r="I1075" s="22"/>
      <c r="J1075" s="22"/>
      <c r="K1075" s="22"/>
    </row>
    <row r="1076">
      <c r="F1076" s="61"/>
      <c r="G1076" s="22"/>
      <c r="H1076" s="22"/>
      <c r="I1076" s="22"/>
      <c r="J1076" s="22"/>
      <c r="K1076" s="22"/>
    </row>
    <row r="1077">
      <c r="F1077" s="61"/>
      <c r="G1077" s="22"/>
      <c r="H1077" s="22"/>
      <c r="I1077" s="22"/>
      <c r="J1077" s="22"/>
      <c r="K1077" s="22"/>
    </row>
    <row r="1078">
      <c r="F1078" s="61"/>
      <c r="G1078" s="22"/>
      <c r="H1078" s="22"/>
      <c r="I1078" s="22"/>
      <c r="J1078" s="22"/>
      <c r="K1078" s="22"/>
    </row>
    <row r="1079">
      <c r="F1079" s="61"/>
      <c r="G1079" s="22"/>
      <c r="H1079" s="22"/>
      <c r="I1079" s="22"/>
      <c r="J1079" s="22"/>
      <c r="K1079" s="22"/>
    </row>
    <row r="1080">
      <c r="F1080" s="61"/>
      <c r="G1080" s="22"/>
      <c r="H1080" s="22"/>
      <c r="I1080" s="22"/>
      <c r="J1080" s="22"/>
      <c r="K1080" s="22"/>
    </row>
    <row r="1081">
      <c r="F1081" s="61"/>
      <c r="G1081" s="22"/>
      <c r="H1081" s="22"/>
      <c r="I1081" s="22"/>
      <c r="J1081" s="22"/>
      <c r="K1081" s="22"/>
    </row>
    <row r="1082">
      <c r="F1082" s="61"/>
      <c r="G1082" s="22"/>
      <c r="H1082" s="22"/>
      <c r="I1082" s="22"/>
      <c r="J1082" s="22"/>
      <c r="K1082" s="22"/>
    </row>
    <row r="1083">
      <c r="F1083" s="61"/>
      <c r="G1083" s="22"/>
      <c r="H1083" s="22"/>
      <c r="I1083" s="22"/>
      <c r="J1083" s="22"/>
      <c r="K1083" s="22"/>
    </row>
    <row r="1084">
      <c r="F1084" s="61"/>
      <c r="G1084" s="22"/>
      <c r="H1084" s="22"/>
      <c r="I1084" s="22"/>
      <c r="J1084" s="22"/>
      <c r="K1084" s="22"/>
    </row>
    <row r="1085">
      <c r="F1085" s="61"/>
      <c r="G1085" s="22"/>
      <c r="H1085" s="22"/>
      <c r="I1085" s="22"/>
      <c r="J1085" s="22"/>
      <c r="K1085" s="22"/>
    </row>
    <row r="1086">
      <c r="F1086" s="61"/>
      <c r="G1086" s="22"/>
      <c r="H1086" s="22"/>
      <c r="I1086" s="22"/>
      <c r="J1086" s="22"/>
      <c r="K1086" s="22"/>
    </row>
    <row r="1087">
      <c r="F1087" s="61"/>
      <c r="G1087" s="22"/>
      <c r="H1087" s="22"/>
      <c r="I1087" s="22"/>
      <c r="J1087" s="22"/>
      <c r="K1087" s="22"/>
    </row>
    <row r="1088">
      <c r="F1088" s="61"/>
      <c r="G1088" s="22"/>
      <c r="H1088" s="22"/>
      <c r="I1088" s="22"/>
      <c r="J1088" s="22"/>
      <c r="K1088" s="22"/>
    </row>
    <row r="1089">
      <c r="F1089" s="61"/>
      <c r="G1089" s="22"/>
      <c r="H1089" s="22"/>
      <c r="I1089" s="22"/>
      <c r="J1089" s="22"/>
      <c r="K1089" s="22"/>
    </row>
    <row r="1090">
      <c r="F1090" s="61"/>
      <c r="G1090" s="22"/>
      <c r="H1090" s="22"/>
      <c r="I1090" s="22"/>
      <c r="J1090" s="22"/>
      <c r="K1090" s="22"/>
    </row>
    <row r="1091">
      <c r="F1091" s="61"/>
      <c r="G1091" s="22"/>
      <c r="H1091" s="22"/>
      <c r="I1091" s="22"/>
      <c r="J1091" s="22"/>
      <c r="K1091" s="22"/>
    </row>
    <row r="1092">
      <c r="F1092" s="61"/>
      <c r="G1092" s="22"/>
      <c r="H1092" s="22"/>
      <c r="I1092" s="22"/>
      <c r="J1092" s="22"/>
      <c r="K1092" s="22"/>
    </row>
    <row r="1093">
      <c r="F1093" s="61"/>
      <c r="G1093" s="22"/>
      <c r="H1093" s="22"/>
      <c r="I1093" s="22"/>
      <c r="J1093" s="22"/>
      <c r="K1093" s="22"/>
    </row>
    <row r="1094">
      <c r="F1094" s="61"/>
      <c r="G1094" s="22"/>
      <c r="H1094" s="22"/>
      <c r="I1094" s="22"/>
      <c r="J1094" s="22"/>
      <c r="K1094" s="22"/>
    </row>
    <row r="1095">
      <c r="F1095" s="61"/>
      <c r="G1095" s="22"/>
      <c r="H1095" s="22"/>
      <c r="I1095" s="22"/>
      <c r="J1095" s="22"/>
      <c r="K1095" s="22"/>
    </row>
    <row r="1096">
      <c r="F1096" s="61"/>
      <c r="G1096" s="22"/>
      <c r="H1096" s="22"/>
      <c r="I1096" s="22"/>
      <c r="J1096" s="22"/>
      <c r="K1096" s="22"/>
    </row>
    <row r="1097">
      <c r="F1097" s="61"/>
      <c r="G1097" s="22"/>
      <c r="H1097" s="22"/>
      <c r="I1097" s="22"/>
      <c r="J1097" s="22"/>
      <c r="K1097" s="22"/>
    </row>
    <row r="1098">
      <c r="F1098" s="61"/>
      <c r="G1098" s="22"/>
      <c r="H1098" s="22"/>
      <c r="I1098" s="22"/>
      <c r="J1098" s="22"/>
      <c r="K1098" s="22"/>
    </row>
    <row r="1099">
      <c r="F1099" s="61"/>
      <c r="G1099" s="22"/>
      <c r="H1099" s="22"/>
      <c r="I1099" s="22"/>
      <c r="J1099" s="22"/>
      <c r="K1099" s="22"/>
    </row>
    <row r="1100">
      <c r="F1100" s="61"/>
      <c r="G1100" s="22"/>
      <c r="H1100" s="22"/>
      <c r="I1100" s="22"/>
      <c r="J1100" s="22"/>
      <c r="K1100" s="22"/>
    </row>
    <row r="1101">
      <c r="F1101" s="61"/>
      <c r="G1101" s="22"/>
      <c r="H1101" s="22"/>
      <c r="I1101" s="22"/>
      <c r="J1101" s="22"/>
      <c r="K1101" s="22"/>
    </row>
    <row r="1102">
      <c r="F1102" s="61"/>
      <c r="G1102" s="22"/>
      <c r="H1102" s="22"/>
      <c r="I1102" s="22"/>
      <c r="J1102" s="22"/>
      <c r="K1102" s="22"/>
    </row>
    <row r="1103">
      <c r="F1103" s="61"/>
      <c r="G1103" s="22"/>
      <c r="H1103" s="22"/>
      <c r="I1103" s="22"/>
      <c r="J1103" s="22"/>
      <c r="K1103" s="22"/>
    </row>
    <row r="1104">
      <c r="F1104" s="61"/>
      <c r="G1104" s="22"/>
      <c r="H1104" s="22"/>
      <c r="I1104" s="22"/>
      <c r="J1104" s="22"/>
      <c r="K1104" s="22"/>
    </row>
    <row r="1105">
      <c r="F1105" s="61"/>
      <c r="G1105" s="22"/>
      <c r="H1105" s="22"/>
      <c r="I1105" s="22"/>
      <c r="J1105" s="22"/>
      <c r="K1105" s="22"/>
    </row>
    <row r="1106">
      <c r="F1106" s="61"/>
      <c r="G1106" s="22"/>
      <c r="H1106" s="22"/>
      <c r="I1106" s="22"/>
      <c r="J1106" s="22"/>
      <c r="K1106" s="22"/>
    </row>
    <row r="1107">
      <c r="F1107" s="61"/>
      <c r="G1107" s="22"/>
      <c r="H1107" s="22"/>
      <c r="I1107" s="22"/>
      <c r="J1107" s="22"/>
      <c r="K1107" s="22"/>
    </row>
    <row r="1108">
      <c r="F1108" s="61"/>
      <c r="G1108" s="22"/>
      <c r="H1108" s="22"/>
      <c r="I1108" s="22"/>
      <c r="J1108" s="22"/>
      <c r="K1108" s="22"/>
    </row>
    <row r="1109">
      <c r="F1109" s="61"/>
      <c r="G1109" s="22"/>
      <c r="H1109" s="22"/>
      <c r="I1109" s="22"/>
      <c r="J1109" s="22"/>
      <c r="K1109" s="22"/>
    </row>
    <row r="1110">
      <c r="F1110" s="61"/>
      <c r="G1110" s="22"/>
      <c r="H1110" s="22"/>
      <c r="I1110" s="22"/>
      <c r="J1110" s="22"/>
      <c r="K1110" s="22"/>
    </row>
    <row r="1111">
      <c r="F1111" s="61"/>
      <c r="G1111" s="22"/>
      <c r="H1111" s="22"/>
      <c r="I1111" s="22"/>
      <c r="J1111" s="22"/>
      <c r="K1111" s="22"/>
    </row>
    <row r="1112">
      <c r="F1112" s="61"/>
      <c r="G1112" s="22"/>
      <c r="H1112" s="22"/>
      <c r="I1112" s="22"/>
      <c r="J1112" s="22"/>
      <c r="K1112" s="22"/>
    </row>
    <row r="1113">
      <c r="F1113" s="61"/>
      <c r="G1113" s="22"/>
      <c r="H1113" s="22"/>
      <c r="I1113" s="22"/>
      <c r="J1113" s="22"/>
      <c r="K1113" s="22"/>
    </row>
    <row r="1114">
      <c r="F1114" s="61"/>
      <c r="G1114" s="22"/>
      <c r="H1114" s="22"/>
      <c r="I1114" s="22"/>
      <c r="J1114" s="22"/>
      <c r="K1114" s="22"/>
    </row>
    <row r="1115">
      <c r="F1115" s="61"/>
      <c r="G1115" s="22"/>
      <c r="H1115" s="22"/>
      <c r="I1115" s="22"/>
      <c r="J1115" s="22"/>
      <c r="K1115" s="22"/>
    </row>
    <row r="1116">
      <c r="F1116" s="61"/>
      <c r="G1116" s="22"/>
      <c r="H1116" s="22"/>
      <c r="I1116" s="22"/>
      <c r="J1116" s="22"/>
      <c r="K1116" s="22"/>
    </row>
    <row r="1117">
      <c r="F1117" s="61"/>
      <c r="G1117" s="22"/>
      <c r="H1117" s="22"/>
      <c r="I1117" s="22"/>
      <c r="J1117" s="22"/>
      <c r="K1117" s="22"/>
    </row>
    <row r="1118">
      <c r="F1118" s="61"/>
      <c r="G1118" s="22"/>
      <c r="H1118" s="22"/>
      <c r="I1118" s="22"/>
      <c r="J1118" s="22"/>
      <c r="K1118" s="22"/>
    </row>
    <row r="1119">
      <c r="F1119" s="61"/>
      <c r="G1119" s="22"/>
      <c r="H1119" s="22"/>
      <c r="I1119" s="22"/>
      <c r="J1119" s="22"/>
      <c r="K1119" s="22"/>
    </row>
    <row r="1120">
      <c r="F1120" s="61"/>
      <c r="G1120" s="22"/>
      <c r="H1120" s="22"/>
      <c r="I1120" s="22"/>
      <c r="J1120" s="22"/>
      <c r="K1120" s="22"/>
    </row>
    <row r="1121">
      <c r="F1121" s="61"/>
      <c r="G1121" s="22"/>
      <c r="H1121" s="22"/>
      <c r="I1121" s="22"/>
      <c r="J1121" s="22"/>
      <c r="K1121" s="22"/>
    </row>
    <row r="1122">
      <c r="F1122" s="61"/>
      <c r="G1122" s="22"/>
      <c r="H1122" s="22"/>
      <c r="I1122" s="22"/>
      <c r="J1122" s="22"/>
      <c r="K1122" s="22"/>
    </row>
    <row r="1123">
      <c r="F1123" s="61"/>
      <c r="G1123" s="22"/>
      <c r="H1123" s="22"/>
      <c r="I1123" s="22"/>
      <c r="J1123" s="22"/>
      <c r="K1123" s="22"/>
    </row>
    <row r="1124">
      <c r="F1124" s="61"/>
      <c r="G1124" s="22"/>
      <c r="H1124" s="22"/>
      <c r="I1124" s="22"/>
      <c r="J1124" s="22"/>
      <c r="K1124" s="22"/>
    </row>
    <row r="1125">
      <c r="F1125" s="61"/>
      <c r="G1125" s="22"/>
      <c r="H1125" s="22"/>
      <c r="I1125" s="22"/>
      <c r="J1125" s="22"/>
      <c r="K1125" s="22"/>
    </row>
    <row r="1126">
      <c r="F1126" s="61"/>
      <c r="G1126" s="22"/>
      <c r="H1126" s="22"/>
      <c r="I1126" s="22"/>
      <c r="J1126" s="22"/>
      <c r="K1126" s="22"/>
    </row>
    <row r="1127">
      <c r="F1127" s="61"/>
      <c r="G1127" s="22"/>
      <c r="H1127" s="22"/>
      <c r="I1127" s="22"/>
      <c r="J1127" s="22"/>
      <c r="K1127" s="22"/>
    </row>
    <row r="1128">
      <c r="F1128" s="61"/>
      <c r="G1128" s="22"/>
      <c r="H1128" s="22"/>
      <c r="I1128" s="22"/>
      <c r="J1128" s="22"/>
      <c r="K1128" s="22"/>
    </row>
    <row r="1129">
      <c r="F1129" s="61"/>
      <c r="G1129" s="22"/>
      <c r="H1129" s="22"/>
      <c r="I1129" s="22"/>
      <c r="J1129" s="22"/>
      <c r="K1129" s="22"/>
    </row>
    <row r="1130">
      <c r="F1130" s="61"/>
      <c r="G1130" s="22"/>
      <c r="H1130" s="22"/>
      <c r="I1130" s="22"/>
      <c r="J1130" s="22"/>
      <c r="K1130" s="22"/>
    </row>
    <row r="1131">
      <c r="F1131" s="61"/>
      <c r="G1131" s="22"/>
      <c r="H1131" s="22"/>
      <c r="I1131" s="22"/>
      <c r="J1131" s="22"/>
      <c r="K1131" s="22"/>
    </row>
    <row r="1132">
      <c r="F1132" s="61"/>
      <c r="G1132" s="22"/>
      <c r="H1132" s="22"/>
      <c r="I1132" s="22"/>
      <c r="J1132" s="22"/>
      <c r="K1132" s="22"/>
    </row>
    <row r="1133">
      <c r="F1133" s="61"/>
      <c r="G1133" s="22"/>
      <c r="H1133" s="22"/>
      <c r="I1133" s="22"/>
      <c r="J1133" s="22"/>
      <c r="K1133" s="22"/>
    </row>
    <row r="1134">
      <c r="F1134" s="61"/>
      <c r="G1134" s="22"/>
      <c r="H1134" s="22"/>
      <c r="I1134" s="22"/>
      <c r="J1134" s="22"/>
      <c r="K1134" s="22"/>
    </row>
    <row r="1135">
      <c r="F1135" s="61"/>
      <c r="G1135" s="22"/>
      <c r="H1135" s="22"/>
      <c r="I1135" s="22"/>
      <c r="J1135" s="22"/>
      <c r="K1135" s="22"/>
    </row>
    <row r="1136">
      <c r="F1136" s="61"/>
      <c r="G1136" s="22"/>
      <c r="H1136" s="22"/>
      <c r="I1136" s="22"/>
      <c r="J1136" s="22"/>
      <c r="K1136" s="22"/>
    </row>
    <row r="1137">
      <c r="F1137" s="61"/>
      <c r="G1137" s="22"/>
      <c r="H1137" s="22"/>
      <c r="I1137" s="22"/>
      <c r="J1137" s="22"/>
      <c r="K1137" s="22"/>
    </row>
    <row r="1138">
      <c r="F1138" s="61"/>
      <c r="G1138" s="22"/>
      <c r="H1138" s="22"/>
      <c r="I1138" s="22"/>
      <c r="J1138" s="22"/>
      <c r="K1138" s="22"/>
    </row>
    <row r="1139">
      <c r="F1139" s="61"/>
      <c r="G1139" s="22"/>
      <c r="H1139" s="22"/>
      <c r="I1139" s="22"/>
      <c r="J1139" s="22"/>
      <c r="K1139" s="22"/>
    </row>
    <row r="1140">
      <c r="F1140" s="61"/>
      <c r="G1140" s="22"/>
      <c r="H1140" s="22"/>
      <c r="I1140" s="22"/>
      <c r="J1140" s="22"/>
      <c r="K1140" s="22"/>
    </row>
    <row r="1141">
      <c r="F1141" s="61"/>
      <c r="G1141" s="22"/>
      <c r="H1141" s="22"/>
      <c r="I1141" s="22"/>
      <c r="J1141" s="22"/>
      <c r="K1141" s="22"/>
    </row>
    <row r="1142">
      <c r="F1142" s="61"/>
      <c r="G1142" s="22"/>
      <c r="H1142" s="22"/>
      <c r="I1142" s="22"/>
      <c r="J1142" s="22"/>
      <c r="K1142" s="22"/>
    </row>
    <row r="1143">
      <c r="F1143" s="61"/>
      <c r="G1143" s="22"/>
      <c r="H1143" s="22"/>
      <c r="I1143" s="22"/>
      <c r="J1143" s="22"/>
      <c r="K1143" s="22"/>
    </row>
    <row r="1144">
      <c r="F1144" s="61"/>
      <c r="G1144" s="22"/>
      <c r="H1144" s="22"/>
      <c r="I1144" s="22"/>
      <c r="J1144" s="22"/>
      <c r="K1144" s="22"/>
    </row>
    <row r="1145">
      <c r="F1145" s="61"/>
      <c r="G1145" s="22"/>
      <c r="H1145" s="22"/>
      <c r="I1145" s="22"/>
      <c r="J1145" s="22"/>
      <c r="K1145" s="22"/>
    </row>
    <row r="1146">
      <c r="F1146" s="61"/>
      <c r="G1146" s="22"/>
      <c r="H1146" s="22"/>
      <c r="I1146" s="22"/>
      <c r="J1146" s="22"/>
      <c r="K1146" s="22"/>
    </row>
    <row r="1147">
      <c r="F1147" s="61"/>
      <c r="G1147" s="22"/>
      <c r="H1147" s="22"/>
      <c r="I1147" s="22"/>
      <c r="J1147" s="22"/>
      <c r="K1147" s="22"/>
    </row>
    <row r="1148">
      <c r="F1148" s="61"/>
      <c r="G1148" s="22"/>
      <c r="H1148" s="22"/>
      <c r="I1148" s="22"/>
      <c r="J1148" s="22"/>
      <c r="K1148" s="22"/>
    </row>
    <row r="1149">
      <c r="F1149" s="61"/>
      <c r="G1149" s="22"/>
      <c r="H1149" s="22"/>
      <c r="I1149" s="22"/>
      <c r="J1149" s="22"/>
      <c r="K1149" s="22"/>
    </row>
    <row r="1150">
      <c r="F1150" s="61"/>
      <c r="G1150" s="22"/>
      <c r="H1150" s="22"/>
      <c r="I1150" s="22"/>
      <c r="J1150" s="22"/>
      <c r="K1150" s="22"/>
    </row>
    <row r="1151">
      <c r="F1151" s="61"/>
      <c r="G1151" s="22"/>
      <c r="H1151" s="22"/>
      <c r="I1151" s="22"/>
      <c r="J1151" s="22"/>
      <c r="K1151" s="22"/>
    </row>
    <row r="1152">
      <c r="F1152" s="61"/>
      <c r="G1152" s="22"/>
      <c r="H1152" s="22"/>
      <c r="I1152" s="22"/>
      <c r="J1152" s="22"/>
      <c r="K1152" s="22"/>
    </row>
    <row r="1153">
      <c r="F1153" s="61"/>
      <c r="G1153" s="22"/>
      <c r="H1153" s="22"/>
      <c r="I1153" s="22"/>
      <c r="J1153" s="22"/>
      <c r="K1153" s="22"/>
    </row>
    <row r="1154">
      <c r="F1154" s="61"/>
      <c r="G1154" s="22"/>
      <c r="H1154" s="22"/>
      <c r="I1154" s="22"/>
      <c r="J1154" s="22"/>
      <c r="K1154" s="22"/>
    </row>
    <row r="1155">
      <c r="F1155" s="61"/>
      <c r="G1155" s="22"/>
      <c r="H1155" s="22"/>
      <c r="I1155" s="22"/>
      <c r="J1155" s="22"/>
      <c r="K1155" s="22"/>
    </row>
    <row r="1156">
      <c r="F1156" s="61"/>
      <c r="G1156" s="22"/>
      <c r="H1156" s="22"/>
      <c r="I1156" s="22"/>
      <c r="J1156" s="22"/>
      <c r="K1156" s="22"/>
    </row>
    <row r="1157">
      <c r="F1157" s="61"/>
      <c r="G1157" s="22"/>
      <c r="H1157" s="22"/>
      <c r="I1157" s="22"/>
      <c r="J1157" s="22"/>
      <c r="K1157" s="22"/>
    </row>
    <row r="1158">
      <c r="F1158" s="61"/>
      <c r="G1158" s="22"/>
      <c r="H1158" s="22"/>
      <c r="I1158" s="22"/>
      <c r="J1158" s="22"/>
      <c r="K1158" s="22"/>
    </row>
    <row r="1159">
      <c r="F1159" s="61"/>
      <c r="G1159" s="22"/>
      <c r="H1159" s="22"/>
      <c r="I1159" s="22"/>
      <c r="J1159" s="22"/>
      <c r="K1159" s="22"/>
    </row>
    <row r="1160">
      <c r="F1160" s="61"/>
      <c r="G1160" s="22"/>
      <c r="H1160" s="22"/>
      <c r="I1160" s="22"/>
      <c r="J1160" s="22"/>
      <c r="K1160" s="22"/>
    </row>
    <row r="1161">
      <c r="F1161" s="61"/>
      <c r="G1161" s="22"/>
      <c r="H1161" s="22"/>
      <c r="I1161" s="22"/>
      <c r="J1161" s="22"/>
      <c r="K1161" s="22"/>
    </row>
    <row r="1162">
      <c r="F1162" s="61"/>
      <c r="G1162" s="22"/>
      <c r="H1162" s="22"/>
      <c r="I1162" s="22"/>
      <c r="J1162" s="22"/>
      <c r="K1162" s="22"/>
    </row>
    <row r="1163">
      <c r="F1163" s="61"/>
      <c r="G1163" s="22"/>
      <c r="H1163" s="22"/>
      <c r="I1163" s="22"/>
      <c r="J1163" s="22"/>
      <c r="K1163" s="22"/>
    </row>
    <row r="1164">
      <c r="F1164" s="61"/>
      <c r="G1164" s="22"/>
      <c r="H1164" s="22"/>
      <c r="I1164" s="22"/>
      <c r="J1164" s="22"/>
      <c r="K1164" s="22"/>
    </row>
    <row r="1165">
      <c r="F1165" s="61"/>
      <c r="G1165" s="22"/>
      <c r="H1165" s="22"/>
      <c r="I1165" s="22"/>
      <c r="J1165" s="22"/>
      <c r="K1165" s="22"/>
    </row>
    <row r="1166">
      <c r="F1166" s="61"/>
      <c r="G1166" s="22"/>
      <c r="H1166" s="22"/>
      <c r="I1166" s="22"/>
      <c r="J1166" s="22"/>
      <c r="K1166" s="22"/>
    </row>
    <row r="1167">
      <c r="F1167" s="61"/>
      <c r="G1167" s="22"/>
      <c r="H1167" s="22"/>
      <c r="I1167" s="22"/>
      <c r="J1167" s="22"/>
      <c r="K1167" s="22"/>
    </row>
    <row r="1168">
      <c r="F1168" s="61"/>
      <c r="G1168" s="22"/>
      <c r="H1168" s="22"/>
      <c r="I1168" s="22"/>
      <c r="J1168" s="22"/>
      <c r="K1168" s="22"/>
    </row>
    <row r="1169">
      <c r="F1169" s="61"/>
      <c r="G1169" s="22"/>
      <c r="H1169" s="22"/>
      <c r="I1169" s="22"/>
      <c r="J1169" s="22"/>
      <c r="K1169" s="22"/>
    </row>
    <row r="1170">
      <c r="F1170" s="61"/>
      <c r="G1170" s="22"/>
      <c r="H1170" s="22"/>
      <c r="I1170" s="22"/>
      <c r="J1170" s="22"/>
      <c r="K1170" s="22"/>
    </row>
    <row r="1171">
      <c r="F1171" s="61"/>
      <c r="G1171" s="22"/>
      <c r="H1171" s="22"/>
      <c r="I1171" s="22"/>
      <c r="J1171" s="22"/>
      <c r="K1171" s="22"/>
    </row>
    <row r="1172">
      <c r="F1172" s="61"/>
      <c r="G1172" s="22"/>
      <c r="H1172" s="22"/>
      <c r="I1172" s="22"/>
      <c r="J1172" s="22"/>
      <c r="K1172" s="22"/>
    </row>
    <row r="1173">
      <c r="F1173" s="61"/>
      <c r="G1173" s="22"/>
      <c r="H1173" s="22"/>
      <c r="I1173" s="22"/>
      <c r="J1173" s="22"/>
      <c r="K1173" s="22"/>
    </row>
    <row r="1174">
      <c r="F1174" s="61"/>
      <c r="G1174" s="22"/>
      <c r="H1174" s="22"/>
      <c r="I1174" s="22"/>
      <c r="J1174" s="22"/>
      <c r="K1174" s="22"/>
    </row>
    <row r="1175">
      <c r="F1175" s="61"/>
      <c r="G1175" s="22"/>
      <c r="H1175" s="22"/>
      <c r="I1175" s="22"/>
      <c r="J1175" s="22"/>
      <c r="K1175" s="22"/>
    </row>
    <row r="1176">
      <c r="F1176" s="61"/>
      <c r="G1176" s="22"/>
      <c r="H1176" s="22"/>
      <c r="I1176" s="22"/>
      <c r="J1176" s="22"/>
      <c r="K1176" s="22"/>
    </row>
    <row r="1177">
      <c r="F1177" s="61"/>
      <c r="G1177" s="22"/>
      <c r="H1177" s="22"/>
      <c r="I1177" s="22"/>
      <c r="J1177" s="22"/>
      <c r="K1177" s="22"/>
    </row>
    <row r="1178">
      <c r="F1178" s="61"/>
      <c r="G1178" s="22"/>
      <c r="H1178" s="22"/>
      <c r="I1178" s="22"/>
      <c r="J1178" s="22"/>
      <c r="K1178" s="22"/>
    </row>
    <row r="1179">
      <c r="F1179" s="61"/>
      <c r="G1179" s="22"/>
      <c r="H1179" s="22"/>
      <c r="I1179" s="22"/>
      <c r="J1179" s="22"/>
      <c r="K1179" s="22"/>
    </row>
    <row r="1180">
      <c r="F1180" s="61"/>
      <c r="G1180" s="22"/>
      <c r="H1180" s="22"/>
      <c r="I1180" s="22"/>
      <c r="J1180" s="22"/>
      <c r="K1180" s="22"/>
    </row>
    <row r="1181">
      <c r="F1181" s="61"/>
      <c r="G1181" s="22"/>
      <c r="H1181" s="22"/>
      <c r="I1181" s="22"/>
      <c r="J1181" s="22"/>
      <c r="K1181" s="22"/>
    </row>
    <row r="1182">
      <c r="F1182" s="61"/>
      <c r="G1182" s="22"/>
      <c r="H1182" s="22"/>
      <c r="I1182" s="22"/>
      <c r="J1182" s="22"/>
      <c r="K1182" s="22"/>
    </row>
    <row r="1183">
      <c r="F1183" s="61"/>
      <c r="G1183" s="22"/>
      <c r="H1183" s="22"/>
      <c r="I1183" s="22"/>
      <c r="J1183" s="22"/>
      <c r="K1183" s="22"/>
    </row>
    <row r="1184">
      <c r="F1184" s="61"/>
      <c r="G1184" s="22"/>
      <c r="H1184" s="22"/>
      <c r="I1184" s="22"/>
      <c r="J1184" s="22"/>
      <c r="K1184" s="22"/>
    </row>
    <row r="1185">
      <c r="F1185" s="61"/>
      <c r="G1185" s="22"/>
      <c r="H1185" s="22"/>
      <c r="I1185" s="22"/>
      <c r="J1185" s="22"/>
      <c r="K1185" s="22"/>
    </row>
    <row r="1186">
      <c r="F1186" s="61"/>
      <c r="G1186" s="22"/>
      <c r="H1186" s="22"/>
      <c r="I1186" s="22"/>
      <c r="J1186" s="22"/>
      <c r="K1186" s="22"/>
    </row>
    <row r="1187">
      <c r="F1187" s="61"/>
      <c r="G1187" s="22"/>
      <c r="H1187" s="22"/>
      <c r="I1187" s="22"/>
      <c r="J1187" s="22"/>
      <c r="K1187" s="22"/>
    </row>
    <row r="1188">
      <c r="F1188" s="61"/>
      <c r="G1188" s="22"/>
      <c r="H1188" s="22"/>
      <c r="I1188" s="22"/>
      <c r="J1188" s="22"/>
      <c r="K1188" s="22"/>
    </row>
    <row r="1189">
      <c r="F1189" s="61"/>
      <c r="G1189" s="22"/>
      <c r="H1189" s="22"/>
      <c r="I1189" s="22"/>
      <c r="J1189" s="22"/>
      <c r="K1189" s="22"/>
    </row>
    <row r="1190">
      <c r="F1190" s="61"/>
      <c r="G1190" s="22"/>
      <c r="H1190" s="22"/>
      <c r="I1190" s="22"/>
      <c r="J1190" s="22"/>
      <c r="K1190" s="22"/>
    </row>
    <row r="1191">
      <c r="F1191" s="61"/>
      <c r="G1191" s="22"/>
      <c r="H1191" s="22"/>
      <c r="I1191" s="22"/>
      <c r="J1191" s="22"/>
      <c r="K1191" s="22"/>
    </row>
    <row r="1192">
      <c r="F1192" s="61"/>
      <c r="G1192" s="22"/>
      <c r="H1192" s="22"/>
      <c r="I1192" s="22"/>
      <c r="J1192" s="22"/>
      <c r="K1192" s="22"/>
    </row>
    <row r="1193">
      <c r="F1193" s="61"/>
      <c r="G1193" s="22"/>
      <c r="H1193" s="22"/>
      <c r="I1193" s="22"/>
      <c r="J1193" s="22"/>
      <c r="K1193" s="22"/>
    </row>
    <row r="1194">
      <c r="F1194" s="61"/>
      <c r="G1194" s="22"/>
      <c r="H1194" s="22"/>
      <c r="I1194" s="22"/>
      <c r="J1194" s="22"/>
      <c r="K1194" s="22"/>
    </row>
    <row r="1195">
      <c r="F1195" s="61"/>
      <c r="G1195" s="22"/>
      <c r="H1195" s="22"/>
      <c r="I1195" s="22"/>
      <c r="J1195" s="22"/>
      <c r="K1195" s="2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2025-08-31T03:20:54Z</dcterms:created>
</cp:coreProperties>
</file>